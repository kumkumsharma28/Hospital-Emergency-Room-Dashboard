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F43A73FB-A508-4D4F-A7DB-1AD9E60FC0DD}" xr6:coauthVersionLast="47" xr6:coauthVersionMax="47" xr10:uidLastSave="{00000000-0000-0000-0000-000000000000}"/>
  <bookViews>
    <workbookView xWindow="-108" yWindow="-108" windowWidth="23256" windowHeight="12456" firstSheet="2" activeTab="2" xr2:uid="{544210B6-3DFE-4A58-9C81-2C435C5843B8}"/>
  </bookViews>
  <sheets>
    <sheet name="Sheet2" sheetId="4" r:id="rId1"/>
    <sheet name="Pivot Table" sheetId="1" r:id="rId2"/>
    <sheet name="Dashboard" sheetId="2" r:id="rId3"/>
    <sheet name="Average wait time daily trend" sheetId="5" r:id="rId4"/>
    <sheet name="Daily ER No. of patients" sheetId="3" r:id="rId5"/>
    <sheet name="Satisfaction Score Daily Trend" sheetId="6" r:id="rId6"/>
  </sheets>
  <definedNames>
    <definedName name="ExternalData_1" localSheetId="0" hidden="1">Sheet2!$A$3:$M$46</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e651218-a255-481c-b8b0-045d1fbf4542" name="Hospital Emergency Room Data" connection="Query - Hospital Emergency Room Data"/>
          <x15:modelTable id="Calendar_table_108e4494-ccc1-49a3-abda-8a9f19846dab" name="Calendar_table" connection="Query - Calendar_table"/>
        </x15:modelTables>
        <x15:modelRelationships>
          <x15:modelRelationship fromTable="Hospital Emergency Room Data" fromColumn="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4" i="1" l="1"/>
  <c r="B54" i="1"/>
  <c r="A54" i="1"/>
  <c r="C53" i="1"/>
  <c r="B53"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619D34-24D6-4182-8086-8513B2D9A038}" keepAlive="1" name="ModelConnection_ExternalData_1" description="Data Model" type="5" refreshedVersion="8" minRefreshableVersion="5" saveData="1">
    <dbPr connection="Data Model Connection" command="DRILLTHROUGH MAXROWS 1000 SELECT FROM [Model] WHERE (([Calendar_table].[Date (Month)].&amp;[Jun],[Measures].[Average of Patient Waittime],[Calendar_table].[Date (Day)].&amp;[1-Jun])) RETURN [$Hospital Emergency Room Data].[Patient Id],[$Hospital Emergency Room Data].[Date],[$Hospital Emergency Room Data].[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F55628B-8A2C-4AF1-9AF1-0DF270D41B62}" name="Query - Calendar_table" description="Connection to the 'Calendar_table' query in the workbook." type="100" refreshedVersion="8" minRefreshableVersion="5">
    <extLst>
      <ext xmlns:x15="http://schemas.microsoft.com/office/spreadsheetml/2010/11/main" uri="{DE250136-89BD-433C-8126-D09CA5730AF9}">
        <x15:connection id="fc6f814d-de50-4959-8a47-b0c94ad9834c"/>
      </ext>
    </extLst>
  </connection>
  <connection id="3" xr16:uid="{23BFB3F8-4F67-4FC3-AED7-84AFB595020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97b4de2-0a95-43e8-a9eb-8991a9ba696a"/>
      </ext>
    </extLst>
  </connection>
  <connection id="4" xr16:uid="{FFD945A4-FF4C-437D-9F3F-E2392C6C7DF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<sst xmlns="http://schemas.openxmlformats.org/spreadsheetml/2006/main" count="511" uniqueCount="180">
  <si>
    <t>Distinct Count of Patient Id</t>
  </si>
  <si>
    <t>No. of Patient</t>
  </si>
  <si>
    <t>Average of Patient Waittime</t>
  </si>
  <si>
    <t>Average of Patient Satisfaction Score</t>
  </si>
  <si>
    <t>Grand Total</t>
  </si>
  <si>
    <t>Row Labels</t>
  </si>
  <si>
    <t>daily trends of no. of patient</t>
  </si>
  <si>
    <t>avg wait time</t>
  </si>
  <si>
    <t>Hospital Emergency Room Data[Patient Id]</t>
  </si>
  <si>
    <t>Hospital Emergency Room Data[Date]</t>
  </si>
  <si>
    <t>Hospital Emergency Room Data[Time]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</si>
  <si>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</si>
  <si>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</si>
  <si>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</si>
  <si>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</si>
  <si>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</si>
  <si>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</si>
  <si>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</si>
  <si>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</si>
  <si>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</si>
  <si>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</si>
  <si>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456-57-3018</t>
  </si>
  <si>
    <t>B. Tousy</t>
  </si>
  <si>
    <t>Female</t>
  </si>
  <si>
    <t>White</t>
  </si>
  <si>
    <t>None</t>
  </si>
  <si>
    <t>Admitted</t>
  </si>
  <si>
    <t>20-29</t>
  </si>
  <si>
    <t>Delay</t>
  </si>
  <si>
    <t>735-55-8837</t>
  </si>
  <si>
    <t>C. Polet</t>
  </si>
  <si>
    <t>Male</t>
  </si>
  <si>
    <t>Not admitted</t>
  </si>
  <si>
    <t>30-39</t>
  </si>
  <si>
    <t>383-43-2338</t>
  </si>
  <si>
    <t>H. Wylder</t>
  </si>
  <si>
    <t>African American</t>
  </si>
  <si>
    <t>838-74-6166</t>
  </si>
  <si>
    <t>X. Briance</t>
  </si>
  <si>
    <t>Ontime</t>
  </si>
  <si>
    <t>471-82-1748</t>
  </si>
  <si>
    <t>V. Cullrford</t>
  </si>
  <si>
    <t>Two or More Races</t>
  </si>
  <si>
    <t>10-19</t>
  </si>
  <si>
    <t>381-42-5162</t>
  </si>
  <si>
    <t>Q. Wones</t>
  </si>
  <si>
    <t>0-9</t>
  </si>
  <si>
    <t>470-74-4865</t>
  </si>
  <si>
    <t>T. Leyborne</t>
  </si>
  <si>
    <t>350-23-6043</t>
  </si>
  <si>
    <t>Y. Truss</t>
  </si>
  <si>
    <t>577-56-7589</t>
  </si>
  <si>
    <t>T. Utterson</t>
  </si>
  <si>
    <t>Declined to Identify</t>
  </si>
  <si>
    <t>124-73-3676</t>
  </si>
  <si>
    <t>K. Bilofsky</t>
  </si>
  <si>
    <t>40-49</t>
  </si>
  <si>
    <t>193-70-0168</t>
  </si>
  <si>
    <t>F. Lenox</t>
  </si>
  <si>
    <t>50-59</t>
  </si>
  <si>
    <t>455-80-8231</t>
  </si>
  <si>
    <t>N. Rzehorz</t>
  </si>
  <si>
    <t>140-47-4325</t>
  </si>
  <si>
    <t>O. Sewell</t>
  </si>
  <si>
    <t>628-78-2242</t>
  </si>
  <si>
    <t>T. Fury</t>
  </si>
  <si>
    <t>Asian</t>
  </si>
  <si>
    <t>896-58-5072</t>
  </si>
  <si>
    <t>T. Neenan</t>
  </si>
  <si>
    <t>70-79</t>
  </si>
  <si>
    <t>418-76-1742</t>
  </si>
  <si>
    <t>Y. Kock</t>
  </si>
  <si>
    <t>290-17-4655</t>
  </si>
  <si>
    <t>Y. Whitington</t>
  </si>
  <si>
    <t>619-25-0963</t>
  </si>
  <si>
    <t>N. Wolverson</t>
  </si>
  <si>
    <t>404-31-3488</t>
  </si>
  <si>
    <t>A. Scallon</t>
  </si>
  <si>
    <t>Pacific Islander</t>
  </si>
  <si>
    <t>60-69</t>
  </si>
  <si>
    <t>703-55-3364</t>
  </si>
  <si>
    <t>H. Hickeringill</t>
  </si>
  <si>
    <t>165-78-8054</t>
  </si>
  <si>
    <t>D. Kleinhandler</t>
  </si>
  <si>
    <t>Native American/Alaska Native</t>
  </si>
  <si>
    <t>478-89-5652</t>
  </si>
  <si>
    <t>G. Delph</t>
  </si>
  <si>
    <t>146-74-0413</t>
  </si>
  <si>
    <t>N. Weddeburn</t>
  </si>
  <si>
    <t>General Practice</t>
  </si>
  <si>
    <t>875-18-8746</t>
  </si>
  <si>
    <t>A. Renzini</t>
  </si>
  <si>
    <t>360-87-9898</t>
  </si>
  <si>
    <t>Q. Rycraft</t>
  </si>
  <si>
    <t>295-99-2730</t>
  </si>
  <si>
    <t>M. Ingolotti</t>
  </si>
  <si>
    <t>352-70-3795</t>
  </si>
  <si>
    <t>L. Ord</t>
  </si>
  <si>
    <t>312-76-3868</t>
  </si>
  <si>
    <t>Z. O'Doherty</t>
  </si>
  <si>
    <t>809-10-0879</t>
  </si>
  <si>
    <t>J. Duffy</t>
  </si>
  <si>
    <t>Orthopedics</t>
  </si>
  <si>
    <t>825-28-0932</t>
  </si>
  <si>
    <t>L. Escoffier</t>
  </si>
  <si>
    <t>139-06-1169</t>
  </si>
  <si>
    <t>P. Swann</t>
  </si>
  <si>
    <t>763-41-5675</t>
  </si>
  <si>
    <t>I. Yardy</t>
  </si>
  <si>
    <t>784-87-8463</t>
  </si>
  <si>
    <t>O. Knight</t>
  </si>
  <si>
    <t>Physiotherapy</t>
  </si>
  <si>
    <t>576-57-4936</t>
  </si>
  <si>
    <t>Q. Headingham</t>
  </si>
  <si>
    <t>Cardiology</t>
  </si>
  <si>
    <t>444-32-3923</t>
  </si>
  <si>
    <t>T. Lawie</t>
  </si>
  <si>
    <t>174-46-8097</t>
  </si>
  <si>
    <t>Q. Dickie</t>
  </si>
  <si>
    <t>Gastroenterology</t>
  </si>
  <si>
    <t>893-28-5273</t>
  </si>
  <si>
    <t>F. Metcalf</t>
  </si>
  <si>
    <t>Neurology</t>
  </si>
  <si>
    <t>439-09-4695</t>
  </si>
  <si>
    <t>T. Bastiman</t>
  </si>
  <si>
    <t>835-45-5469</t>
  </si>
  <si>
    <t>B. Jorat</t>
  </si>
  <si>
    <t>807-20-6718</t>
  </si>
  <si>
    <t>Q. Seleway</t>
  </si>
  <si>
    <t>353-90-2932</t>
  </si>
  <si>
    <t>P. Sangwin</t>
  </si>
  <si>
    <t>215-96-3099</t>
  </si>
  <si>
    <t>S. Millan</t>
  </si>
  <si>
    <t>156-04-1460</t>
  </si>
  <si>
    <t>V. Caress</t>
  </si>
  <si>
    <t>Data returned for Average of Patient Waittime, 1-Jun, Jun (First 1000 rows).</t>
  </si>
  <si>
    <t xml:space="preserve">                                                                                                        Showing a  daily trend with an area sparkline to spot patterns like busy days or seasonal trends.</t>
  </si>
  <si>
    <t xml:space="preserve">                                                                                     Use an area sparkline to track daily changes and highlight days with longer wait times that might need improvements</t>
  </si>
  <si>
    <t>Satisfaction score daily trend</t>
  </si>
  <si>
    <t>Count of Patient Admission Flag</t>
  </si>
  <si>
    <t>Count of Patient Admission Flag2</t>
  </si>
  <si>
    <t>Admission Status</t>
  </si>
  <si>
    <t>No. Of Patient</t>
  </si>
  <si>
    <t>% Status</t>
  </si>
  <si>
    <t>Count of Age Group</t>
  </si>
  <si>
    <t>Count of Patient Attend Status</t>
  </si>
  <si>
    <t>Count of Patient Gender</t>
  </si>
  <si>
    <t>Renal</t>
  </si>
  <si>
    <t>Count of Department Referral</t>
  </si>
  <si>
    <t>2023</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</si>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</sst>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0"/>
      <name val="Aptos Narrow"/>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xf numFmtId="21" fontId="0" fillId="0" borderId="0" xfId="0" applyNumberFormat="1"/>
    <xf numFmtId="0" fontId="1" fillId="0" borderId="0" xfId="0" applyFont="1"/>
    <xf numFmtId="0" fontId="0" fillId="3" borderId="0" xfId="0" applyFill="1"/>
    <xf numFmtId="0" fontId="0" fillId="4" borderId="0" xfId="0" applyFill="1"/>
    <xf numFmtId="1" fontId="0" fillId="0" borderId="0" xfId="0" applyNumberFormat="1"/>
    <xf numFmtId="10" fontId="0" fillId="0" borderId="0" xfId="0" applyNumberFormat="1"/>
    <xf numFmtId="0" fontId="3" fillId="5" borderId="0" xfId="0" applyFont="1" applyFill="1"/>
    <xf numFmtId="0" fontId="3" fillId="5" borderId="0" xfId="0" applyFont="1" applyFill="1" applyAlignment="1">
      <alignment horizontal="center"/>
    </xf>
    <xf numFmtId="0" fontId="3" fillId="6" borderId="0" xfId="0" applyFont="1" applyFill="1"/>
    <xf numFmtId="0" fontId="0" fillId="6" borderId="0" xfId="0" applyFill="1" applyAlignment="1">
      <alignment horizontal="center"/>
    </xf>
    <xf numFmtId="9" fontId="0" fillId="6" borderId="0" xfId="1" applyFont="1" applyFill="1" applyAlignment="1">
      <alignment horizontal="center"/>
    </xf>
    <xf numFmtId="0" fontId="0" fillId="6" borderId="0" xfId="0" applyFill="1"/>
  </cellXfs>
  <cellStyles count="2">
    <cellStyle name="Normal" xfId="0" builtinId="0"/>
    <cellStyle name="Percent" xfId="1" builtinId="5"/>
  </cellStyles>
  <dxfs count="37">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6" formatCode="h:mm:ss"/>
    </dxf>
    <dxf>
      <numFmt numFmtId="19" formatCode="m/d/yyyy"/>
    </dxf>
    <dxf>
      <font>
        <b/>
        <color theme="1"/>
      </font>
      <border>
        <bottom style="thin">
          <color theme="0" tint="-0.34998626667073579"/>
        </bottom>
        <vertical/>
        <horizontal/>
      </border>
    </dxf>
    <dxf>
      <font>
        <sz val="8"/>
        <color theme="1"/>
      </font>
      <fill>
        <patternFill>
          <bgColor theme="2"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sz val="8"/>
        <color theme="1"/>
      </font>
      <fill>
        <patternFill patternType="none">
          <bgColor auto="1"/>
        </patternFill>
      </fill>
      <border>
        <left style="thin">
          <color theme="4"/>
        </left>
        <right style="thin">
          <color theme="4"/>
        </right>
        <top style="thin">
          <color theme="4"/>
        </top>
        <bottom style="thin">
          <color theme="4"/>
        </bottom>
        <vertical/>
        <horizontal/>
      </border>
    </dxf>
    <dxf>
      <font>
        <color theme="5"/>
      </font>
      <border diagonalUp="0" diagonalDown="0">
        <left style="thin">
          <color auto="1"/>
        </left>
        <right style="thin">
          <color auto="1"/>
        </right>
        <top style="thin">
          <color auto="1"/>
        </top>
        <bottom style="thin">
          <color auto="1"/>
        </bottom>
        <vertical/>
        <horizontal/>
      </border>
    </dxf>
    <dxf>
      <fill>
        <patternFill>
          <fgColor theme="5"/>
        </patternFill>
      </fill>
    </dxf>
    <dxf>
      <fill>
        <patternFill>
          <bgColor theme="5"/>
        </patternFill>
      </fill>
    </dxf>
    <dxf>
      <font>
        <color theme="5"/>
      </font>
    </dxf>
    <dxf>
      <font>
        <color theme="5"/>
      </font>
    </dxf>
    <dxf>
      <font>
        <b/>
        <color theme="1"/>
      </font>
      <border>
        <bottom style="thin">
          <color theme="5"/>
        </bottom>
        <vertical/>
        <horizontal/>
      </border>
    </dxf>
    <dxf>
      <font>
        <sz val="10"/>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1" tint="0.499984740745262"/>
        </patternFill>
      </fill>
      <border>
        <left style="thin">
          <color theme="7"/>
        </left>
        <right style="thin">
          <color theme="7"/>
        </right>
        <top style="thin">
          <color theme="7"/>
        </top>
        <bottom style="thin">
          <color theme="7"/>
        </bottom>
        <vertical/>
        <horizontal/>
      </border>
    </dxf>
  </dxfs>
  <tableStyles count="10" defaultTableStyle="TableStyleMedium2" defaultPivotStyle="PivotStyleLight16">
    <tableStyle name="mystyle" pivot="0" table="0" count="10" xr9:uid="{82F60640-DAD4-40E6-B044-221F0789676E}">
      <tableStyleElement type="wholeTable" dxfId="36"/>
      <tableStyleElement type="headerRow" dxfId="35"/>
    </tableStyle>
    <tableStyle name="mystyle8" pivot="0" table="0" count="10" xr9:uid="{59779431-AB83-4420-B042-5434ACB71E37}">
      <tableStyleElement type="wholeTable" dxfId="34"/>
      <tableStyleElement type="headerRow" dxfId="33"/>
    </tableStyle>
    <tableStyle name="Slicer Style 1" pivot="0" table="0" count="1" xr9:uid="{1CE4B248-67F1-44DD-83EC-46C08F417032}">
      <tableStyleElement type="wholeTable" dxfId="32"/>
    </tableStyle>
    <tableStyle name="Slicer Style 2" pivot="0" table="0" count="1" xr9:uid="{738E6351-C9E9-49F1-A5F7-A53F5C2D9274}">
      <tableStyleElement type="wholeTable" dxfId="31"/>
    </tableStyle>
    <tableStyle name="Slicer Style 3" pivot="0" table="0" count="1" xr9:uid="{115D6CA0-5CE1-4970-B585-8DE3035E9AC9}">
      <tableStyleElement type="wholeTable" dxfId="30"/>
    </tableStyle>
    <tableStyle name="Slicer Style 4" pivot="0" table="0" count="1" xr9:uid="{62FFCB4B-2C85-4293-93EE-60209DF611BD}">
      <tableStyleElement type="wholeTable" dxfId="29"/>
    </tableStyle>
    <tableStyle name="Slicer Style 5" pivot="0" table="0" count="1" xr9:uid="{4530300A-18F5-4938-B012-F42231F74C76}"/>
    <tableStyle name="Slicer Style 6" pivot="0" table="0" count="1" xr9:uid="{ECDE66E3-0CD8-4DC2-8EAE-9B7A99BADEC2}">
      <tableStyleElement type="wholeTable" dxfId="28"/>
    </tableStyle>
    <tableStyle name="SlicerStyleLight1 2" pivot="0" table="0" count="10" xr9:uid="{B8D5FD62-E720-4934-8005-739CEAB4BBFA}">
      <tableStyleElement type="wholeTable" dxfId="27"/>
      <tableStyleElement type="headerRow" dxfId="26"/>
    </tableStyle>
    <tableStyle name="SlicerStyleOther1 2" pivot="0" table="0" count="10" xr9:uid="{914DAD58-F155-4DAC-8A67-043565E56D4B}">
      <tableStyleElement type="wholeTable" dxfId="25"/>
      <tableStyleElement type="headerRow" dxfId="24"/>
    </tableStyle>
  </tableStyle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5"/>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2">
        <x14:slicerStyle name="mystyle">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mystyle8">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Slicer Style 1"/>
        <x14:slicerStyle name="Slicer Style 2"/>
        <x14:slicerStyle name="Slicer Style 3"/>
        <x14:slicerStyle name="Slicer Style 4"/>
        <x14:slicerStyle name="Slicer Style 5">
          <x14:slicerStyleElements>
            <x14:slicerStyleElement type="hoveredSelectedItemWithData" dxfId="16"/>
          </x14:slicerStyleElements>
        </x14:slicerStyle>
        <x14:slicerStyle name="Slicer Style 6"/>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Table!PivotTable8</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1.1574074074074073E-2"/>
          <c:y val="0.2131782945736434"/>
          <c:w val="0.42081237241178182"/>
          <c:h val="0.5736434108527132"/>
        </c:manualLayout>
      </c:layout>
      <c:barChart>
        <c:barDir val="bar"/>
        <c:grouping val="clustered"/>
        <c:varyColors val="0"/>
        <c:ser>
          <c:idx val="0"/>
          <c:order val="0"/>
          <c:tx>
            <c:strRef>
              <c:f>'Pivot Table'!$B$44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EA5-4380-85E3-8CA60AAA5575}"/>
              </c:ext>
            </c:extLst>
          </c:dPt>
          <c:cat>
            <c:strRef>
              <c:f>'Pivot Table'!$A$45:$A$47</c:f>
              <c:strCache>
                <c:ptCount val="2"/>
                <c:pt idx="0">
                  <c:v>Admitted</c:v>
                </c:pt>
                <c:pt idx="1">
                  <c:v>Not admitted</c:v>
                </c:pt>
              </c:strCache>
            </c:strRef>
          </c:cat>
          <c:val>
            <c:numRef>
              <c:f>'Pivot Table'!$B$45:$B$47</c:f>
              <c:numCache>
                <c:formatCode>0</c:formatCode>
                <c:ptCount val="2"/>
                <c:pt idx="0">
                  <c:v>249</c:v>
                </c:pt>
                <c:pt idx="1">
                  <c:v>220</c:v>
                </c:pt>
              </c:numCache>
            </c:numRef>
          </c:val>
          <c:extLst>
            <c:ext xmlns:c16="http://schemas.microsoft.com/office/drawing/2014/chart" uri="{C3380CC4-5D6E-409C-BE32-E72D297353CC}">
              <c16:uniqueId val="{00000002-5810-458A-BF9D-3762DBC1B833}"/>
            </c:ext>
          </c:extLst>
        </c:ser>
        <c:ser>
          <c:idx val="1"/>
          <c:order val="1"/>
          <c:tx>
            <c:strRef>
              <c:f>'Pivot Table'!$C$44</c:f>
              <c:strCache>
                <c:ptCount val="1"/>
                <c:pt idx="0">
                  <c:v>Count of Patient Admission Flag2</c:v>
                </c:pt>
              </c:strCache>
            </c:strRef>
          </c:tx>
          <c:spPr>
            <a:solidFill>
              <a:schemeClr val="accent2"/>
            </a:solidFill>
            <a:ln>
              <a:noFill/>
            </a:ln>
            <a:effectLst/>
          </c:spPr>
          <c:invertIfNegative val="0"/>
          <c:cat>
            <c:strRef>
              <c:f>'Pivot Table'!$A$45:$A$47</c:f>
              <c:strCache>
                <c:ptCount val="2"/>
                <c:pt idx="0">
                  <c:v>Admitted</c:v>
                </c:pt>
                <c:pt idx="1">
                  <c:v>Not admitted</c:v>
                </c:pt>
              </c:strCache>
            </c:strRef>
          </c:cat>
          <c:val>
            <c:numRef>
              <c:f>'Pivot Table'!$C$45:$C$47</c:f>
              <c:numCache>
                <c:formatCode>0.00%</c:formatCode>
                <c:ptCount val="2"/>
                <c:pt idx="0">
                  <c:v>0.53091684434968012</c:v>
                </c:pt>
                <c:pt idx="1">
                  <c:v>0.46908315565031983</c:v>
                </c:pt>
              </c:numCache>
            </c:numRef>
          </c:val>
          <c:extLst>
            <c:ext xmlns:c16="http://schemas.microsoft.com/office/drawing/2014/chart" uri="{C3380CC4-5D6E-409C-BE32-E72D297353CC}">
              <c16:uniqueId val="{00000003-5810-458A-BF9D-3762DBC1B833}"/>
            </c:ext>
          </c:extLst>
        </c:ser>
        <c:dLbls>
          <c:showLegendKey val="0"/>
          <c:showVal val="0"/>
          <c:showCatName val="0"/>
          <c:showSerName val="0"/>
          <c:showPercent val="0"/>
          <c:showBubbleSize val="0"/>
        </c:dLbls>
        <c:gapWidth val="0"/>
        <c:axId val="1581920752"/>
        <c:axId val="1649578416"/>
      </c:barChart>
      <c:catAx>
        <c:axId val="1581920752"/>
        <c:scaling>
          <c:orientation val="minMax"/>
        </c:scaling>
        <c:delete val="1"/>
        <c:axPos val="l"/>
        <c:numFmt formatCode="General" sourceLinked="1"/>
        <c:majorTickMark val="none"/>
        <c:minorTickMark val="none"/>
        <c:tickLblPos val="nextTo"/>
        <c:crossAx val="1649578416"/>
        <c:crosses val="autoZero"/>
        <c:auto val="1"/>
        <c:lblAlgn val="ctr"/>
        <c:lblOffset val="100"/>
        <c:noMultiLvlLbl val="0"/>
      </c:catAx>
      <c:valAx>
        <c:axId val="1649578416"/>
        <c:scaling>
          <c:orientation val="minMax"/>
        </c:scaling>
        <c:delete val="1"/>
        <c:axPos val="b"/>
        <c:numFmt formatCode="0" sourceLinked="1"/>
        <c:majorTickMark val="none"/>
        <c:minorTickMark val="none"/>
        <c:tickLblPos val="nextTo"/>
        <c:crossAx val="15819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Table!PivotTable4</c:name>
    <c:fmtId val="2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3474209364337537E-3"/>
          <c:y val="0"/>
          <c:w val="0.9956525790635663"/>
          <c:h val="1"/>
        </c:manualLayout>
      </c:layout>
      <c:areaChart>
        <c:grouping val="standard"/>
        <c:varyColors val="0"/>
        <c:ser>
          <c:idx val="0"/>
          <c:order val="0"/>
          <c:tx>
            <c:strRef>
              <c:f>'Pivot Table'!$E$4</c:f>
              <c:strCache>
                <c:ptCount val="1"/>
                <c:pt idx="0">
                  <c:v>Total</c:v>
                </c:pt>
              </c:strCache>
            </c:strRef>
          </c:tx>
          <c:spPr>
            <a:solidFill>
              <a:schemeClr val="accent1"/>
            </a:solidFill>
            <a:ln w="25400">
              <a:noFill/>
            </a:ln>
            <a:effectLst/>
          </c:spPr>
          <c:cat>
            <c:strRef>
              <c:f>'Pivot Table'!$D$5:$D$35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Table'!$E$5:$E$35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1D84-4657-A334-890DB1ABE527}"/>
            </c:ext>
          </c:extLst>
        </c:ser>
        <c:dLbls>
          <c:showLegendKey val="0"/>
          <c:showVal val="0"/>
          <c:showCatName val="0"/>
          <c:showSerName val="0"/>
          <c:showPercent val="0"/>
          <c:showBubbleSize val="0"/>
        </c:dLbls>
        <c:axId val="686029168"/>
        <c:axId val="585036208"/>
      </c:areaChart>
      <c:catAx>
        <c:axId val="686029168"/>
        <c:scaling>
          <c:orientation val="minMax"/>
        </c:scaling>
        <c:delete val="1"/>
        <c:axPos val="b"/>
        <c:numFmt formatCode="General" sourceLinked="1"/>
        <c:majorTickMark val="out"/>
        <c:minorTickMark val="none"/>
        <c:tickLblPos val="nextTo"/>
        <c:crossAx val="585036208"/>
        <c:crosses val="autoZero"/>
        <c:auto val="1"/>
        <c:lblAlgn val="ctr"/>
        <c:lblOffset val="100"/>
        <c:noMultiLvlLbl val="0"/>
      </c:catAx>
      <c:valAx>
        <c:axId val="585036208"/>
        <c:scaling>
          <c:orientation val="minMax"/>
        </c:scaling>
        <c:delete val="1"/>
        <c:axPos val="l"/>
        <c:numFmt formatCode="General" sourceLinked="1"/>
        <c:majorTickMark val="none"/>
        <c:minorTickMark val="none"/>
        <c:tickLblPos val="nextTo"/>
        <c:crossAx val="686029168"/>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19409188028742E-3"/>
          <c:y val="0"/>
          <c:w val="0.99040772584521752"/>
          <c:h val="1"/>
        </c:manualLayout>
      </c:layout>
      <c:areaChart>
        <c:grouping val="standard"/>
        <c:varyColors val="0"/>
        <c:ser>
          <c:idx val="0"/>
          <c:order val="0"/>
          <c:tx>
            <c:strRef>
              <c:f>'Pivot Table'!$K$4</c:f>
              <c:strCache>
                <c:ptCount val="1"/>
                <c:pt idx="0">
                  <c:v>Total</c:v>
                </c:pt>
              </c:strCache>
            </c:strRef>
          </c:tx>
          <c:spPr>
            <a:solidFill>
              <a:schemeClr val="accent1"/>
            </a:solidFill>
            <a:ln w="25400">
              <a:noFill/>
            </a:ln>
            <a:effectLst/>
          </c:spPr>
          <c:cat>
            <c:strRef>
              <c:f>'Pivot Table'!$J$5:$J$35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Table'!$K$5:$K$35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B127-4251-8189-7F38DBFD4234}"/>
            </c:ext>
          </c:extLst>
        </c:ser>
        <c:dLbls>
          <c:showLegendKey val="0"/>
          <c:showVal val="0"/>
          <c:showCatName val="0"/>
          <c:showSerName val="0"/>
          <c:showPercent val="0"/>
          <c:showBubbleSize val="0"/>
        </c:dLbls>
        <c:axId val="1628104128"/>
        <c:axId val="1836490224"/>
      </c:areaChart>
      <c:catAx>
        <c:axId val="1628104128"/>
        <c:scaling>
          <c:orientation val="minMax"/>
        </c:scaling>
        <c:delete val="1"/>
        <c:axPos val="b"/>
        <c:numFmt formatCode="General" sourceLinked="1"/>
        <c:majorTickMark val="out"/>
        <c:minorTickMark val="none"/>
        <c:tickLblPos val="nextTo"/>
        <c:crossAx val="1836490224"/>
        <c:crosses val="autoZero"/>
        <c:auto val="1"/>
        <c:lblAlgn val="ctr"/>
        <c:lblOffset val="100"/>
        <c:noMultiLvlLbl val="0"/>
      </c:catAx>
      <c:valAx>
        <c:axId val="1836490224"/>
        <c:scaling>
          <c:orientation val="minMax"/>
        </c:scaling>
        <c:delete val="1"/>
        <c:axPos val="l"/>
        <c:numFmt formatCode="0.00" sourceLinked="1"/>
        <c:majorTickMark val="none"/>
        <c:minorTickMark val="none"/>
        <c:tickLblPos val="nextTo"/>
        <c:crossAx val="162810412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Table'!$A$60:$A$68</c:f>
              <c:strCache>
                <c:ptCount val="8"/>
                <c:pt idx="0">
                  <c:v>0-9</c:v>
                </c:pt>
                <c:pt idx="1">
                  <c:v>10-19</c:v>
                </c:pt>
                <c:pt idx="2">
                  <c:v>20-29</c:v>
                </c:pt>
                <c:pt idx="3">
                  <c:v>30-39</c:v>
                </c:pt>
                <c:pt idx="4">
                  <c:v>40-49</c:v>
                </c:pt>
                <c:pt idx="5">
                  <c:v>50-59</c:v>
                </c:pt>
                <c:pt idx="6">
                  <c:v>60-69</c:v>
                </c:pt>
                <c:pt idx="7">
                  <c:v>70-79</c:v>
                </c:pt>
              </c:strCache>
            </c:strRef>
          </c:cat>
          <c:val>
            <c:numRef>
              <c:f>'Pivot Table'!$B$60:$B$68</c:f>
              <c:numCache>
                <c:formatCode>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A262-4CFF-BDEF-EB0693B391B6}"/>
            </c:ext>
          </c:extLst>
        </c:ser>
        <c:dLbls>
          <c:showLegendKey val="0"/>
          <c:showVal val="0"/>
          <c:showCatName val="0"/>
          <c:showSerName val="0"/>
          <c:showPercent val="0"/>
          <c:showBubbleSize val="0"/>
        </c:dLbls>
        <c:gapWidth val="219"/>
        <c:overlap val="-27"/>
        <c:axId val="165293647"/>
        <c:axId val="1649444016"/>
      </c:barChart>
      <c:catAx>
        <c:axId val="16529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444016"/>
        <c:crosses val="autoZero"/>
        <c:auto val="1"/>
        <c:lblAlgn val="ctr"/>
        <c:lblOffset val="100"/>
        <c:noMultiLvlLbl val="0"/>
      </c:catAx>
      <c:valAx>
        <c:axId val="1649444016"/>
        <c:scaling>
          <c:orientation val="minMax"/>
        </c:scaling>
        <c:delete val="1"/>
        <c:axPos val="l"/>
        <c:numFmt formatCode="0" sourceLinked="1"/>
        <c:majorTickMark val="none"/>
        <c:minorTickMark val="none"/>
        <c:tickLblPos val="nextTo"/>
        <c:crossAx val="16529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Table!PivotTable6</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770314397110171E-2"/>
          <c:w val="1"/>
          <c:h val="0.98123017231541709"/>
        </c:manualLayout>
      </c:layout>
      <c:areaChart>
        <c:grouping val="standard"/>
        <c:varyColors val="0"/>
        <c:ser>
          <c:idx val="0"/>
          <c:order val="0"/>
          <c:tx>
            <c:strRef>
              <c:f>'Pivot Table'!$N$4</c:f>
              <c:strCache>
                <c:ptCount val="1"/>
                <c:pt idx="0">
                  <c:v>Total</c:v>
                </c:pt>
              </c:strCache>
            </c:strRef>
          </c:tx>
          <c:spPr>
            <a:solidFill>
              <a:schemeClr val="accent1"/>
            </a:solidFill>
            <a:ln w="25400">
              <a:noFill/>
            </a:ln>
            <a:effectLst/>
          </c:spPr>
          <c:cat>
            <c:strRef>
              <c:f>'Pivot Table'!$M$5:$M$35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Table'!$N$5:$N$35</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DBF3-45F2-B237-EDB1566F40A7}"/>
            </c:ext>
          </c:extLst>
        </c:ser>
        <c:dLbls>
          <c:showLegendKey val="0"/>
          <c:showVal val="0"/>
          <c:showCatName val="0"/>
          <c:showSerName val="0"/>
          <c:showPercent val="0"/>
          <c:showBubbleSize val="0"/>
        </c:dLbls>
        <c:axId val="1437215408"/>
        <c:axId val="918853680"/>
      </c:areaChart>
      <c:catAx>
        <c:axId val="1437215408"/>
        <c:scaling>
          <c:orientation val="minMax"/>
        </c:scaling>
        <c:delete val="1"/>
        <c:axPos val="b"/>
        <c:numFmt formatCode="General" sourceLinked="1"/>
        <c:majorTickMark val="out"/>
        <c:minorTickMark val="none"/>
        <c:tickLblPos val="nextTo"/>
        <c:crossAx val="918853680"/>
        <c:crosses val="autoZero"/>
        <c:auto val="1"/>
        <c:lblAlgn val="ctr"/>
        <c:lblOffset val="100"/>
        <c:noMultiLvlLbl val="0"/>
      </c:catAx>
      <c:valAx>
        <c:axId val="918853680"/>
        <c:scaling>
          <c:orientation val="minMax"/>
        </c:scaling>
        <c:delete val="1"/>
        <c:axPos val="l"/>
        <c:numFmt formatCode="0.00" sourceLinked="1"/>
        <c:majorTickMark val="none"/>
        <c:minorTickMark val="none"/>
        <c:tickLblPos val="nextTo"/>
        <c:crossAx val="1437215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Table!PivotTable3</c:name>
    <c:fmtId val="47"/>
  </c:pivotSource>
  <c:chart>
    <c:autoTitleDeleted val="1"/>
    <c:pivotFmts>
      <c:pivotFmt>
        <c:idx val="0"/>
        <c:spPr>
          <a:solidFill>
            <a:schemeClr val="accent1"/>
          </a:solidFill>
          <a:ln>
            <a:noFill/>
          </a:ln>
          <a:effectLst/>
          <a:scene3d>
            <a:camera prst="orthographicFront"/>
            <a:lightRig rig="threePt"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threePt"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s>
    <c:plotArea>
      <c:layout>
        <c:manualLayout>
          <c:layoutTarget val="inner"/>
          <c:xMode val="edge"/>
          <c:yMode val="edge"/>
          <c:x val="0.14517942342227469"/>
          <c:y val="0.11023404532996911"/>
          <c:w val="0.73973402616170958"/>
          <c:h val="0.88976595467003083"/>
        </c:manualLayout>
      </c:layout>
      <c:pieChart>
        <c:varyColors val="1"/>
        <c:ser>
          <c:idx val="0"/>
          <c:order val="0"/>
          <c:tx>
            <c:strRef>
              <c:f>'Pivot Table'!$B$77</c:f>
              <c:strCache>
                <c:ptCount val="1"/>
                <c:pt idx="0">
                  <c:v>Total</c:v>
                </c:pt>
              </c:strCache>
            </c:strRef>
          </c:tx>
          <c:spPr>
            <a:effectLst/>
            <a:scene3d>
              <a:camera prst="orthographicFront"/>
              <a:lightRig rig="threePt" dir="t"/>
            </a:scene3d>
          </c:spPr>
          <c:dPt>
            <c:idx val="0"/>
            <c:bubble3D val="0"/>
            <c:spPr>
              <a:solidFill>
                <a:schemeClr val="accent1"/>
              </a:solidFill>
              <a:ln>
                <a:noFill/>
              </a:ln>
              <a:effectLst/>
              <a:scene3d>
                <a:camera prst="orthographicFront"/>
                <a:lightRig rig="threePt" dir="t"/>
              </a:scene3d>
              <a:sp3d prstMaterial="flat">
                <a:bevelT w="50800" h="101600" prst="angle"/>
                <a:contourClr>
                  <a:srgbClr val="000000"/>
                </a:contourClr>
              </a:sp3d>
            </c:spPr>
            <c:extLst>
              <c:ext xmlns:c16="http://schemas.microsoft.com/office/drawing/2014/chart" uri="{C3380CC4-5D6E-409C-BE32-E72D297353CC}">
                <c16:uniqueId val="{00000001-F1C2-441C-89E3-AC5960305E26}"/>
              </c:ext>
            </c:extLst>
          </c:dPt>
          <c:dPt>
            <c:idx val="1"/>
            <c:bubble3D val="0"/>
            <c:spPr>
              <a:solidFill>
                <a:schemeClr val="accent2"/>
              </a:solidFill>
              <a:ln>
                <a:noFill/>
              </a:ln>
              <a:effectLst/>
              <a:scene3d>
                <a:camera prst="orthographicFront"/>
                <a:lightRig rig="threePt" dir="t"/>
              </a:scene3d>
              <a:sp3d prstMaterial="flat">
                <a:bevelT w="50800" h="101600" prst="angle"/>
                <a:contourClr>
                  <a:srgbClr val="000000"/>
                </a:contourClr>
              </a:sp3d>
            </c:spPr>
            <c:extLst>
              <c:ext xmlns:c16="http://schemas.microsoft.com/office/drawing/2014/chart" uri="{C3380CC4-5D6E-409C-BE32-E72D297353CC}">
                <c16:uniqueId val="{00000003-F1C2-441C-89E3-AC5960305E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Table'!$A$78:$A$80</c:f>
              <c:strCache>
                <c:ptCount val="2"/>
                <c:pt idx="0">
                  <c:v>Delay</c:v>
                </c:pt>
                <c:pt idx="1">
                  <c:v>Ontime</c:v>
                </c:pt>
              </c:strCache>
            </c:strRef>
          </c:cat>
          <c:val>
            <c:numRef>
              <c:f>'Pivot Table'!$B$78:$B$80</c:f>
              <c:numCache>
                <c:formatCode>0</c:formatCode>
                <c:ptCount val="2"/>
                <c:pt idx="0">
                  <c:v>257</c:v>
                </c:pt>
                <c:pt idx="1">
                  <c:v>212</c:v>
                </c:pt>
              </c:numCache>
            </c:numRef>
          </c:val>
          <c:extLst>
            <c:ext xmlns:c16="http://schemas.microsoft.com/office/drawing/2014/chart" uri="{C3380CC4-5D6E-409C-BE32-E72D297353CC}">
              <c16:uniqueId val="{00000004-8C30-4049-8478-9B15626E5A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5662073490813612E-2"/>
          <c:y val="5.7815689705455859E-4"/>
          <c:w val="0.28719064469168076"/>
          <c:h val="0.31077565580545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Table!PivotTable7</c:name>
    <c:fmtId val="52"/>
  </c:pivotSource>
  <c:chart>
    <c:autoTitleDeleted val="1"/>
    <c:pivotFmts>
      <c:pivotFmt>
        <c:idx val="0"/>
        <c:spPr>
          <a:solidFill>
            <a:schemeClr val="accent1"/>
          </a:solidFill>
          <a:ln>
            <a:noFill/>
          </a:ln>
          <a:effectLst/>
          <a:scene3d>
            <a:camera prst="orthographicFront"/>
            <a:lightRig rig="threePt"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threePt"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threePt" dir="t"/>
          </a:scene3d>
          <a:sp3d prstMaterial="flat">
            <a:bevelT w="50800" h="101600" prst="angle"/>
            <a:contourClr>
              <a:srgbClr val="000000"/>
            </a:contourClr>
          </a:sp3d>
        </c:spPr>
      </c:pivotFmt>
    </c:pivotFmts>
    <c:plotArea>
      <c:layout>
        <c:manualLayout>
          <c:layoutTarget val="inner"/>
          <c:xMode val="edge"/>
          <c:yMode val="edge"/>
          <c:x val="0.22220419947506559"/>
          <c:y val="0.18821986821049813"/>
          <c:w val="0.69035697046489863"/>
          <c:h val="0.7578682199425385"/>
        </c:manualLayout>
      </c:layout>
      <c:doughnutChart>
        <c:varyColors val="1"/>
        <c:ser>
          <c:idx val="0"/>
          <c:order val="0"/>
          <c:tx>
            <c:strRef>
              <c:f>'Pivot Table'!$B$84</c:f>
              <c:strCache>
                <c:ptCount val="1"/>
                <c:pt idx="0">
                  <c:v>Total</c:v>
                </c:pt>
              </c:strCache>
            </c:strRef>
          </c:tx>
          <c:spPr>
            <a:effectLst/>
            <a:scene3d>
              <a:camera prst="orthographicFront"/>
              <a:lightRig rig="threePt" dir="t"/>
            </a:scene3d>
          </c:spPr>
          <c:dPt>
            <c:idx val="0"/>
            <c:bubble3D val="0"/>
            <c:spPr>
              <a:solidFill>
                <a:schemeClr val="accent1"/>
              </a:solidFill>
              <a:ln>
                <a:noFill/>
              </a:ln>
              <a:effectLst/>
              <a:scene3d>
                <a:camera prst="orthographicFront"/>
                <a:lightRig rig="threePt" dir="t"/>
              </a:scene3d>
              <a:sp3d prstMaterial="flat">
                <a:bevelT w="50800" h="101600" prst="angle"/>
                <a:contourClr>
                  <a:srgbClr val="000000"/>
                </a:contourClr>
              </a:sp3d>
            </c:spPr>
            <c:extLst>
              <c:ext xmlns:c16="http://schemas.microsoft.com/office/drawing/2014/chart" uri="{C3380CC4-5D6E-409C-BE32-E72D297353CC}">
                <c16:uniqueId val="{00000001-12CB-4B01-9E14-1C0915E39F23}"/>
              </c:ext>
            </c:extLst>
          </c:dPt>
          <c:dPt>
            <c:idx val="1"/>
            <c:bubble3D val="0"/>
            <c:spPr>
              <a:solidFill>
                <a:schemeClr val="accent2"/>
              </a:solidFill>
              <a:ln>
                <a:noFill/>
              </a:ln>
              <a:effectLst/>
              <a:scene3d>
                <a:camera prst="orthographicFront"/>
                <a:lightRig rig="threePt" dir="t"/>
              </a:scene3d>
              <a:sp3d prstMaterial="flat">
                <a:bevelT w="50800" h="101600" prst="angle"/>
                <a:contourClr>
                  <a:srgbClr val="000000"/>
                </a:contourClr>
              </a:sp3d>
            </c:spPr>
            <c:extLst>
              <c:ext xmlns:c16="http://schemas.microsoft.com/office/drawing/2014/chart" uri="{C3380CC4-5D6E-409C-BE32-E72D297353CC}">
                <c16:uniqueId val="{00000003-12CB-4B01-9E14-1C0915E39F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Table'!$A$85:$A$87</c:f>
              <c:strCache>
                <c:ptCount val="2"/>
                <c:pt idx="0">
                  <c:v>Female</c:v>
                </c:pt>
                <c:pt idx="1">
                  <c:v>Male</c:v>
                </c:pt>
              </c:strCache>
            </c:strRef>
          </c:cat>
          <c:val>
            <c:numRef>
              <c:f>'Pivot Table'!$B$85:$B$87</c:f>
              <c:numCache>
                <c:formatCode>0.00</c:formatCode>
                <c:ptCount val="2"/>
                <c:pt idx="0">
                  <c:v>219</c:v>
                </c:pt>
                <c:pt idx="1">
                  <c:v>250</c:v>
                </c:pt>
              </c:numCache>
            </c:numRef>
          </c:val>
          <c:extLst>
            <c:ext xmlns:c16="http://schemas.microsoft.com/office/drawing/2014/chart" uri="{C3380CC4-5D6E-409C-BE32-E72D297353CC}">
              <c16:uniqueId val="{00000004-5411-48BC-B234-544F4ECE795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7.6176071741032386E-2"/>
          <c:y val="9.8374161563138177E-3"/>
          <c:w val="0.28384409448818898"/>
          <c:h val="0.26079718654359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Table!PivotTable11</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7620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500015132877742E-2"/>
                  <c:h val="4.5501864063678725E-2"/>
                </c:manualLayout>
              </c15:layout>
            </c:ext>
          </c:extLst>
        </c:dLbl>
      </c:pivotFmt>
    </c:pivotFmts>
    <c:plotArea>
      <c:layout>
        <c:manualLayout>
          <c:layoutTarget val="inner"/>
          <c:xMode val="edge"/>
          <c:yMode val="edge"/>
          <c:x val="0.25954890780640244"/>
          <c:y val="1.1435105774728416E-2"/>
          <c:w val="0.7404510921935975"/>
          <c:h val="0.98856489422527161"/>
        </c:manualLayout>
      </c:layout>
      <c:barChart>
        <c:barDir val="bar"/>
        <c:grouping val="clustered"/>
        <c:varyColors val="0"/>
        <c:ser>
          <c:idx val="0"/>
          <c:order val="0"/>
          <c:tx>
            <c:strRef>
              <c:f>'Pivot Table'!$B$93</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w="76200">
                <a:noFill/>
              </a:ln>
              <a:effectLst/>
            </c:spPr>
            <c:extLst>
              <c:ext xmlns:c16="http://schemas.microsoft.com/office/drawing/2014/chart" uri="{C3380CC4-5D6E-409C-BE32-E72D297353CC}">
                <c16:uniqueId val="{00000001-4F7B-4FEF-874D-824C6DEC1406}"/>
              </c:ext>
            </c:extLst>
          </c:dPt>
          <c:dLbls>
            <c:dLbl>
              <c:idx val="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500015132877742E-2"/>
                      <c:h val="4.5501864063678725E-2"/>
                    </c:manualLayout>
                  </c15:layout>
                </c:ext>
                <c:ext xmlns:c16="http://schemas.microsoft.com/office/drawing/2014/chart" uri="{C3380CC4-5D6E-409C-BE32-E72D297353CC}">
                  <c16:uniqueId val="{00000001-4F7B-4FEF-874D-824C6DEC14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Table'!$A$94:$A$102</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Table'!$B$94:$B$102</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2-E21A-4835-BFEF-494952727DC0}"/>
            </c:ext>
          </c:extLst>
        </c:ser>
        <c:dLbls>
          <c:showLegendKey val="0"/>
          <c:showVal val="0"/>
          <c:showCatName val="0"/>
          <c:showSerName val="0"/>
          <c:showPercent val="0"/>
          <c:showBubbleSize val="0"/>
        </c:dLbls>
        <c:gapWidth val="182"/>
        <c:axId val="1437254848"/>
        <c:axId val="918874320"/>
      </c:barChart>
      <c:catAx>
        <c:axId val="143725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74320"/>
        <c:crosses val="autoZero"/>
        <c:auto val="1"/>
        <c:lblAlgn val="ctr"/>
        <c:lblOffset val="100"/>
        <c:noMultiLvlLbl val="0"/>
      </c:catAx>
      <c:valAx>
        <c:axId val="918874320"/>
        <c:scaling>
          <c:orientation val="minMax"/>
        </c:scaling>
        <c:delete val="1"/>
        <c:axPos val="b"/>
        <c:numFmt formatCode="0" sourceLinked="1"/>
        <c:majorTickMark val="none"/>
        <c:minorTickMark val="none"/>
        <c:tickLblPos val="nextTo"/>
        <c:crossAx val="143725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31902781589299E-2"/>
          <c:y val="0"/>
          <c:w val="0.99040772584521752"/>
          <c:h val="1"/>
        </c:manualLayout>
      </c:layout>
      <c:areaChart>
        <c:grouping val="standard"/>
        <c:varyColors val="0"/>
        <c:ser>
          <c:idx val="0"/>
          <c:order val="0"/>
          <c:tx>
            <c:strRef>
              <c:f>'Pivot Table'!$K$4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Table'!$J$5:$J$35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Table'!$K$5:$K$35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D582-49B5-8151-FEFC3CDBE9D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28104128"/>
        <c:axId val="1836490224"/>
      </c:areaChart>
      <c:catAx>
        <c:axId val="16281041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6490224"/>
        <c:crosses val="autoZero"/>
        <c:auto val="1"/>
        <c:lblAlgn val="ctr"/>
        <c:lblOffset val="100"/>
        <c:noMultiLvlLbl val="0"/>
      </c:catAx>
      <c:valAx>
        <c:axId val="1836490224"/>
        <c:scaling>
          <c:orientation val="minMax"/>
        </c:scaling>
        <c:delete val="1"/>
        <c:axPos val="l"/>
        <c:numFmt formatCode="0.00" sourceLinked="1"/>
        <c:majorTickMark val="out"/>
        <c:minorTickMark val="none"/>
        <c:tickLblPos val="nextTo"/>
        <c:crossAx val="1628104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Table!PivotTable4</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57150682617583E-2"/>
          <c:y val="0.15997188112347693"/>
          <c:w val="0.91941391941391937"/>
          <c:h val="0.63659145972138098"/>
        </c:manualLayout>
      </c:layout>
      <c:areaChart>
        <c:grouping val="standard"/>
        <c:varyColors val="0"/>
        <c:ser>
          <c:idx val="0"/>
          <c:order val="0"/>
          <c:tx>
            <c:strRef>
              <c:f>'Pivot Table'!$E$4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Table'!$E$5:$E$35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B3DD-4647-99E9-77D0EBAD21E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86029168"/>
        <c:axId val="585036208"/>
      </c:areaChart>
      <c:catAx>
        <c:axId val="6860291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5036208"/>
        <c:crosses val="autoZero"/>
        <c:auto val="1"/>
        <c:lblAlgn val="ctr"/>
        <c:lblOffset val="100"/>
        <c:noMultiLvlLbl val="0"/>
      </c:catAx>
      <c:valAx>
        <c:axId val="585036208"/>
        <c:scaling>
          <c:orientation val="minMax"/>
        </c:scaling>
        <c:delete val="1"/>
        <c:axPos val="l"/>
        <c:numFmt formatCode="General" sourceLinked="1"/>
        <c:majorTickMark val="out"/>
        <c:minorTickMark val="none"/>
        <c:tickLblPos val="nextTo"/>
        <c:crossAx val="686029168"/>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.xlsx]Pivot Table!PivotTable6</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Table'!$M$5:$M$35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Table'!$N$5:$N$35</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14DF-4076-BAB1-6DF3B745E16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07484848"/>
        <c:axId val="1649420016"/>
      </c:areaChart>
      <c:catAx>
        <c:axId val="15074848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9420016"/>
        <c:crosses val="autoZero"/>
        <c:auto val="1"/>
        <c:lblAlgn val="ctr"/>
        <c:lblOffset val="100"/>
        <c:noMultiLvlLbl val="0"/>
      </c:catAx>
      <c:valAx>
        <c:axId val="1649420016"/>
        <c:scaling>
          <c:orientation val="minMax"/>
        </c:scaling>
        <c:delete val="1"/>
        <c:axPos val="l"/>
        <c:numFmt formatCode="0.00" sourceLinked="1"/>
        <c:majorTickMark val="out"/>
        <c:minorTickMark val="none"/>
        <c:tickLblPos val="nextTo"/>
        <c:crossAx val="1507484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emf"/><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hyperlink" Target="#'Satisfaction Score Daily Trend'!A1"/></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ily ER No. of patients'!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1935480</xdr:colOff>
      <xdr:row>51</xdr:row>
      <xdr:rowOff>30480</xdr:rowOff>
    </xdr:from>
    <xdr:to>
      <xdr:col>4</xdr:col>
      <xdr:colOff>1325880</xdr:colOff>
      <xdr:row>54</xdr:row>
      <xdr:rowOff>137160</xdr:rowOff>
    </xdr:to>
    <xdr:graphicFrame macro="">
      <xdr:nvGraphicFramePr>
        <xdr:cNvPr id="4" name="Chart 3">
          <a:extLst>
            <a:ext uri="{FF2B5EF4-FFF2-40B4-BE49-F238E27FC236}">
              <a16:creationId xmlns:a16="http://schemas.microsoft.com/office/drawing/2014/main" id="{51CA14CB-9158-B6A7-A704-24953A076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23605</xdr:colOff>
      <xdr:row>0</xdr:row>
      <xdr:rowOff>67537</xdr:rowOff>
    </xdr:from>
    <xdr:to>
      <xdr:col>9</xdr:col>
      <xdr:colOff>493057</xdr:colOff>
      <xdr:row>4</xdr:row>
      <xdr:rowOff>113257</xdr:rowOff>
    </xdr:to>
    <xdr:sp macro="" textlink="">
      <xdr:nvSpPr>
        <xdr:cNvPr id="3" name="Rectangle: Rounded Corners 2">
          <a:extLst>
            <a:ext uri="{FF2B5EF4-FFF2-40B4-BE49-F238E27FC236}">
              <a16:creationId xmlns:a16="http://schemas.microsoft.com/office/drawing/2014/main" id="{0E1B78AC-2763-79D5-6C66-78C4054D616A}"/>
            </a:ext>
          </a:extLst>
        </xdr:cNvPr>
        <xdr:cNvSpPr/>
      </xdr:nvSpPr>
      <xdr:spPr>
        <a:xfrm>
          <a:off x="23605" y="67537"/>
          <a:ext cx="5982746" cy="7628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596153</xdr:colOff>
      <xdr:row>0</xdr:row>
      <xdr:rowOff>82774</xdr:rowOff>
    </xdr:from>
    <xdr:to>
      <xdr:col>12</xdr:col>
      <xdr:colOff>485588</xdr:colOff>
      <xdr:row>4</xdr:row>
      <xdr:rowOff>128494</xdr:rowOff>
    </xdr:to>
    <xdr:sp macro="" textlink="">
      <xdr:nvSpPr>
        <xdr:cNvPr id="4" name="Rectangle: Rounded Corners 3">
          <a:extLst>
            <a:ext uri="{FF2B5EF4-FFF2-40B4-BE49-F238E27FC236}">
              <a16:creationId xmlns:a16="http://schemas.microsoft.com/office/drawing/2014/main" id="{AAEEF3ED-FF17-4CA2-BD61-523B05DFFED2}"/>
            </a:ext>
          </a:extLst>
        </xdr:cNvPr>
        <xdr:cNvSpPr/>
      </xdr:nvSpPr>
      <xdr:spPr>
        <a:xfrm>
          <a:off x="6109447" y="82774"/>
          <a:ext cx="1727200" cy="7628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578673</xdr:colOff>
      <xdr:row>0</xdr:row>
      <xdr:rowOff>67833</xdr:rowOff>
    </xdr:from>
    <xdr:to>
      <xdr:col>16</xdr:col>
      <xdr:colOff>278505</xdr:colOff>
      <xdr:row>10</xdr:row>
      <xdr:rowOff>90693</xdr:rowOff>
    </xdr:to>
    <xdr:sp macro="" textlink="">
      <xdr:nvSpPr>
        <xdr:cNvPr id="5" name="Rectangle: Rounded Corners 4">
          <a:extLst>
            <a:ext uri="{FF2B5EF4-FFF2-40B4-BE49-F238E27FC236}">
              <a16:creationId xmlns:a16="http://schemas.microsoft.com/office/drawing/2014/main" id="{48256DB9-541C-45A5-9AD2-BFCD36E42F68}"/>
            </a:ext>
          </a:extLst>
        </xdr:cNvPr>
        <xdr:cNvSpPr/>
      </xdr:nvSpPr>
      <xdr:spPr>
        <a:xfrm>
          <a:off x="7929732" y="67833"/>
          <a:ext cx="2150185" cy="18158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336176</xdr:colOff>
      <xdr:row>0</xdr:row>
      <xdr:rowOff>67235</xdr:rowOff>
    </xdr:from>
    <xdr:to>
      <xdr:col>20</xdr:col>
      <xdr:colOff>89646</xdr:colOff>
      <xdr:row>10</xdr:row>
      <xdr:rowOff>90095</xdr:rowOff>
    </xdr:to>
    <xdr:sp macro="" textlink="">
      <xdr:nvSpPr>
        <xdr:cNvPr id="6" name="Rectangle: Rounded Corners 5">
          <a:extLst>
            <a:ext uri="{FF2B5EF4-FFF2-40B4-BE49-F238E27FC236}">
              <a16:creationId xmlns:a16="http://schemas.microsoft.com/office/drawing/2014/main" id="{25DE4480-A5A2-484A-AF35-779AE1DDA91B}"/>
            </a:ext>
          </a:extLst>
        </xdr:cNvPr>
        <xdr:cNvSpPr/>
      </xdr:nvSpPr>
      <xdr:spPr>
        <a:xfrm>
          <a:off x="10137588" y="67235"/>
          <a:ext cx="2203823" cy="18158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53340</xdr:colOff>
      <xdr:row>4</xdr:row>
      <xdr:rowOff>167640</xdr:rowOff>
    </xdr:from>
    <xdr:to>
      <xdr:col>2</xdr:col>
      <xdr:colOff>201706</xdr:colOff>
      <xdr:row>24</xdr:row>
      <xdr:rowOff>104588</xdr:rowOff>
    </xdr:to>
    <xdr:sp macro="" textlink="">
      <xdr:nvSpPr>
        <xdr:cNvPr id="7" name="Rectangle: Rounded Corners 6">
          <a:extLst>
            <a:ext uri="{FF2B5EF4-FFF2-40B4-BE49-F238E27FC236}">
              <a16:creationId xmlns:a16="http://schemas.microsoft.com/office/drawing/2014/main" id="{3390D738-CC8C-4E42-8C67-11D498CD6FEE}"/>
            </a:ext>
          </a:extLst>
        </xdr:cNvPr>
        <xdr:cNvSpPr/>
      </xdr:nvSpPr>
      <xdr:spPr>
        <a:xfrm>
          <a:off x="53340" y="884816"/>
          <a:ext cx="1373542" cy="352283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268943</xdr:colOff>
      <xdr:row>5</xdr:row>
      <xdr:rowOff>0</xdr:rowOff>
    </xdr:from>
    <xdr:to>
      <xdr:col>5</xdr:col>
      <xdr:colOff>486040</xdr:colOff>
      <xdr:row>11</xdr:row>
      <xdr:rowOff>76200</xdr:rowOff>
    </xdr:to>
    <xdr:sp macro="" textlink="">
      <xdr:nvSpPr>
        <xdr:cNvPr id="8" name="Rectangle: Rounded Corners 7">
          <a:extLst>
            <a:ext uri="{FF2B5EF4-FFF2-40B4-BE49-F238E27FC236}">
              <a16:creationId xmlns:a16="http://schemas.microsoft.com/office/drawing/2014/main" id="{3C1B76F8-9CC7-4428-81CD-5A78D5059ABE}"/>
            </a:ext>
          </a:extLst>
        </xdr:cNvPr>
        <xdr:cNvSpPr/>
      </xdr:nvSpPr>
      <xdr:spPr>
        <a:xfrm>
          <a:off x="1494119" y="896471"/>
          <a:ext cx="2054862" cy="11519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575236</xdr:colOff>
      <xdr:row>5</xdr:row>
      <xdr:rowOff>0</xdr:rowOff>
    </xdr:from>
    <xdr:to>
      <xdr:col>9</xdr:col>
      <xdr:colOff>179745</xdr:colOff>
      <xdr:row>11</xdr:row>
      <xdr:rowOff>76200</xdr:rowOff>
    </xdr:to>
    <xdr:sp macro="" textlink="">
      <xdr:nvSpPr>
        <xdr:cNvPr id="13" name="Rectangle: Rounded Corners 12">
          <a:extLst>
            <a:ext uri="{FF2B5EF4-FFF2-40B4-BE49-F238E27FC236}">
              <a16:creationId xmlns:a16="http://schemas.microsoft.com/office/drawing/2014/main" id="{385034DC-0230-19A0-EFD7-2F52BE57A9BD}"/>
            </a:ext>
          </a:extLst>
        </xdr:cNvPr>
        <xdr:cNvSpPr/>
      </xdr:nvSpPr>
      <xdr:spPr>
        <a:xfrm>
          <a:off x="3638177" y="896471"/>
          <a:ext cx="2054862" cy="11519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268941</xdr:colOff>
      <xdr:row>5</xdr:row>
      <xdr:rowOff>0</xdr:rowOff>
    </xdr:from>
    <xdr:to>
      <xdr:col>12</xdr:col>
      <xdr:colOff>478117</xdr:colOff>
      <xdr:row>11</xdr:row>
      <xdr:rowOff>76200</xdr:rowOff>
    </xdr:to>
    <xdr:sp macro="" textlink="">
      <xdr:nvSpPr>
        <xdr:cNvPr id="14" name="Rectangle: Rounded Corners 13">
          <a:extLst>
            <a:ext uri="{FF2B5EF4-FFF2-40B4-BE49-F238E27FC236}">
              <a16:creationId xmlns:a16="http://schemas.microsoft.com/office/drawing/2014/main" id="{4727829F-94F0-4440-88CB-DD449E7FDEAB}"/>
            </a:ext>
          </a:extLst>
        </xdr:cNvPr>
        <xdr:cNvSpPr/>
      </xdr:nvSpPr>
      <xdr:spPr>
        <a:xfrm>
          <a:off x="5782235" y="896471"/>
          <a:ext cx="2046941" cy="11519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273130</xdr:colOff>
      <xdr:row>16</xdr:row>
      <xdr:rowOff>126758</xdr:rowOff>
    </xdr:from>
    <xdr:to>
      <xdr:col>12</xdr:col>
      <xdr:colOff>522947</xdr:colOff>
      <xdr:row>24</xdr:row>
      <xdr:rowOff>89645</xdr:rowOff>
    </xdr:to>
    <xdr:sp macro="" textlink="">
      <xdr:nvSpPr>
        <xdr:cNvPr id="16" name="Rectangle: Rounded Corners 15">
          <a:extLst>
            <a:ext uri="{FF2B5EF4-FFF2-40B4-BE49-F238E27FC236}">
              <a16:creationId xmlns:a16="http://schemas.microsoft.com/office/drawing/2014/main" id="{BA61EB61-C2DC-4613-8888-43CE6857AE8D}"/>
            </a:ext>
          </a:extLst>
        </xdr:cNvPr>
        <xdr:cNvSpPr/>
      </xdr:nvSpPr>
      <xdr:spPr>
        <a:xfrm>
          <a:off x="1498306" y="2995464"/>
          <a:ext cx="6375700" cy="1397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605119</xdr:colOff>
      <xdr:row>10</xdr:row>
      <xdr:rowOff>134471</xdr:rowOff>
    </xdr:from>
    <xdr:to>
      <xdr:col>20</xdr:col>
      <xdr:colOff>134472</xdr:colOff>
      <xdr:row>24</xdr:row>
      <xdr:rowOff>97118</xdr:rowOff>
    </xdr:to>
    <xdr:sp macro="" textlink="">
      <xdr:nvSpPr>
        <xdr:cNvPr id="19" name="Rectangle: Rounded Corners 18">
          <a:extLst>
            <a:ext uri="{FF2B5EF4-FFF2-40B4-BE49-F238E27FC236}">
              <a16:creationId xmlns:a16="http://schemas.microsoft.com/office/drawing/2014/main" id="{BC38F111-AFE7-4AD4-95DE-5D9B1377A4EC}"/>
            </a:ext>
          </a:extLst>
        </xdr:cNvPr>
        <xdr:cNvSpPr/>
      </xdr:nvSpPr>
      <xdr:spPr>
        <a:xfrm>
          <a:off x="7956178" y="1927412"/>
          <a:ext cx="4430059" cy="24727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291355</xdr:colOff>
      <xdr:row>0</xdr:row>
      <xdr:rowOff>149410</xdr:rowOff>
    </xdr:from>
    <xdr:to>
      <xdr:col>9</xdr:col>
      <xdr:colOff>149412</xdr:colOff>
      <xdr:row>2</xdr:row>
      <xdr:rowOff>134469</xdr:rowOff>
    </xdr:to>
    <xdr:sp macro="" textlink="">
      <xdr:nvSpPr>
        <xdr:cNvPr id="20" name="TextBox 19">
          <a:extLst>
            <a:ext uri="{FF2B5EF4-FFF2-40B4-BE49-F238E27FC236}">
              <a16:creationId xmlns:a16="http://schemas.microsoft.com/office/drawing/2014/main" id="{CD1580E0-18F9-CD62-BCDA-F96ECCE70312}"/>
            </a:ext>
          </a:extLst>
        </xdr:cNvPr>
        <xdr:cNvSpPr txBox="1"/>
      </xdr:nvSpPr>
      <xdr:spPr>
        <a:xfrm>
          <a:off x="1516531" y="149410"/>
          <a:ext cx="4146175"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a:t>Hospital</a:t>
          </a:r>
          <a:r>
            <a:rPr lang="en-IN" sz="1600" b="1"/>
            <a:t> </a:t>
          </a:r>
          <a:r>
            <a:rPr lang="en-IN" sz="1800" b="1"/>
            <a:t>Emergency</a:t>
          </a:r>
          <a:r>
            <a:rPr lang="en-IN" sz="1800" b="1" baseline="0"/>
            <a:t> Room Dashboard</a:t>
          </a:r>
          <a:endParaRPr lang="en-IN" sz="1600" b="1"/>
        </a:p>
      </xdr:txBody>
    </xdr:sp>
    <xdr:clientData/>
  </xdr:twoCellAnchor>
  <xdr:twoCellAnchor editAs="oneCell">
    <xdr:from>
      <xdr:col>0</xdr:col>
      <xdr:colOff>448235</xdr:colOff>
      <xdr:row>0</xdr:row>
      <xdr:rowOff>112059</xdr:rowOff>
    </xdr:from>
    <xdr:to>
      <xdr:col>2</xdr:col>
      <xdr:colOff>59765</xdr:colOff>
      <xdr:row>3</xdr:row>
      <xdr:rowOff>171824</xdr:rowOff>
    </xdr:to>
    <xdr:pic>
      <xdr:nvPicPr>
        <xdr:cNvPr id="22" name="Picture 21">
          <a:extLst>
            <a:ext uri="{FF2B5EF4-FFF2-40B4-BE49-F238E27FC236}">
              <a16:creationId xmlns:a16="http://schemas.microsoft.com/office/drawing/2014/main" id="{5C144007-F3CA-708E-48A5-2A4E100B01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000" t="12988" r="21154" b="17739"/>
        <a:stretch>
          <a:fillRect/>
        </a:stretch>
      </xdr:blipFill>
      <xdr:spPr>
        <a:xfrm>
          <a:off x="448235" y="112059"/>
          <a:ext cx="836706" cy="597647"/>
        </a:xfrm>
        <a:prstGeom prst="rect">
          <a:avLst/>
        </a:prstGeom>
      </xdr:spPr>
    </xdr:pic>
    <xdr:clientData/>
  </xdr:twoCellAnchor>
  <xdr:twoCellAnchor editAs="absolute">
    <xdr:from>
      <xdr:col>2</xdr:col>
      <xdr:colOff>451226</xdr:colOff>
      <xdr:row>2</xdr:row>
      <xdr:rowOff>115046</xdr:rowOff>
    </xdr:from>
    <xdr:to>
      <xdr:col>8</xdr:col>
      <xdr:colOff>234577</xdr:colOff>
      <xdr:row>4</xdr:row>
      <xdr:rowOff>100105</xdr:rowOff>
    </xdr:to>
    <xdr:sp macro="" textlink="">
      <xdr:nvSpPr>
        <xdr:cNvPr id="23" name="TextBox 22">
          <a:extLst>
            <a:ext uri="{FF2B5EF4-FFF2-40B4-BE49-F238E27FC236}">
              <a16:creationId xmlns:a16="http://schemas.microsoft.com/office/drawing/2014/main" id="{D8A269AB-D80F-D11F-1248-F6CA52CDF698}"/>
            </a:ext>
          </a:extLst>
        </xdr:cNvPr>
        <xdr:cNvSpPr txBox="1"/>
      </xdr:nvSpPr>
      <xdr:spPr>
        <a:xfrm>
          <a:off x="1676402" y="473634"/>
          <a:ext cx="3458881"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a:t>Monthly</a:t>
          </a:r>
          <a:r>
            <a:rPr lang="en-IN" sz="1800" baseline="0"/>
            <a:t> Report</a:t>
          </a:r>
          <a:endParaRPr lang="en-IN" sz="1600"/>
        </a:p>
      </xdr:txBody>
    </xdr:sp>
    <xdr:clientData/>
  </xdr:twoCellAnchor>
  <xdr:twoCellAnchor editAs="absolute">
    <xdr:from>
      <xdr:col>2</xdr:col>
      <xdr:colOff>261470</xdr:colOff>
      <xdr:row>7</xdr:row>
      <xdr:rowOff>88149</xdr:rowOff>
    </xdr:from>
    <xdr:to>
      <xdr:col>5</xdr:col>
      <xdr:colOff>455714</xdr:colOff>
      <xdr:row>9</xdr:row>
      <xdr:rowOff>73208</xdr:rowOff>
    </xdr:to>
    <xdr:sp macro="" textlink="">
      <xdr:nvSpPr>
        <xdr:cNvPr id="24" name="TextBox 23">
          <a:extLst>
            <a:ext uri="{FF2B5EF4-FFF2-40B4-BE49-F238E27FC236}">
              <a16:creationId xmlns:a16="http://schemas.microsoft.com/office/drawing/2014/main" id="{7AAEB54E-88E0-A28A-A7EE-465697746674}"/>
            </a:ext>
          </a:extLst>
        </xdr:cNvPr>
        <xdr:cNvSpPr txBox="1"/>
      </xdr:nvSpPr>
      <xdr:spPr>
        <a:xfrm>
          <a:off x="1486646" y="1343208"/>
          <a:ext cx="2032009"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i="1"/>
            <a:t>No.</a:t>
          </a:r>
          <a:r>
            <a:rPr lang="en-IN" sz="1800" i="1" baseline="0"/>
            <a:t> of Patient</a:t>
          </a:r>
          <a:endParaRPr lang="en-IN" sz="1600" i="1"/>
        </a:p>
      </xdr:txBody>
    </xdr:sp>
    <xdr:clientData/>
  </xdr:twoCellAnchor>
  <xdr:twoCellAnchor editAs="absolute">
    <xdr:from>
      <xdr:col>2</xdr:col>
      <xdr:colOff>268942</xdr:colOff>
      <xdr:row>5</xdr:row>
      <xdr:rowOff>147916</xdr:rowOff>
    </xdr:from>
    <xdr:to>
      <xdr:col>5</xdr:col>
      <xdr:colOff>500530</xdr:colOff>
      <xdr:row>7</xdr:row>
      <xdr:rowOff>132975</xdr:rowOff>
    </xdr:to>
    <xdr:sp macro="" textlink="'Pivot Table'!A5">
      <xdr:nvSpPr>
        <xdr:cNvPr id="25" name="TextBox 24">
          <a:extLst>
            <a:ext uri="{FF2B5EF4-FFF2-40B4-BE49-F238E27FC236}">
              <a16:creationId xmlns:a16="http://schemas.microsoft.com/office/drawing/2014/main" id="{0B547ACB-2E99-F8C1-2237-AC40B42D481C}"/>
            </a:ext>
          </a:extLst>
        </xdr:cNvPr>
        <xdr:cNvSpPr txBox="1"/>
      </xdr:nvSpPr>
      <xdr:spPr>
        <a:xfrm>
          <a:off x="1494118" y="1044387"/>
          <a:ext cx="2069353"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3012383-D3A5-4B8B-8839-DE5A982B50FC}" type="TxLink">
            <a:rPr lang="en-US" sz="2000" b="0" i="0" u="none" strike="noStrike">
              <a:solidFill>
                <a:srgbClr val="000000"/>
              </a:solidFill>
              <a:latin typeface="Aptos Narrow"/>
            </a:rPr>
            <a:pPr algn="ctr"/>
            <a:t>469</a:t>
          </a:fld>
          <a:endParaRPr lang="en-US" sz="2000"/>
        </a:p>
      </xdr:txBody>
    </xdr:sp>
    <xdr:clientData/>
  </xdr:twoCellAnchor>
  <xdr:twoCellAnchor editAs="absolute">
    <xdr:from>
      <xdr:col>5</xdr:col>
      <xdr:colOff>582704</xdr:colOff>
      <xdr:row>7</xdr:row>
      <xdr:rowOff>155385</xdr:rowOff>
    </xdr:from>
    <xdr:to>
      <xdr:col>9</xdr:col>
      <xdr:colOff>164360</xdr:colOff>
      <xdr:row>9</xdr:row>
      <xdr:rowOff>140444</xdr:rowOff>
    </xdr:to>
    <xdr:sp macro="" textlink="">
      <xdr:nvSpPr>
        <xdr:cNvPr id="26" name="TextBox 25">
          <a:extLst>
            <a:ext uri="{FF2B5EF4-FFF2-40B4-BE49-F238E27FC236}">
              <a16:creationId xmlns:a16="http://schemas.microsoft.com/office/drawing/2014/main" id="{FE643CC4-2C92-74F2-207F-1263D44A7C26}"/>
            </a:ext>
          </a:extLst>
        </xdr:cNvPr>
        <xdr:cNvSpPr txBox="1"/>
      </xdr:nvSpPr>
      <xdr:spPr>
        <a:xfrm>
          <a:off x="3645645" y="1410444"/>
          <a:ext cx="2032009"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i="1"/>
            <a:t>Averag</a:t>
          </a:r>
          <a:r>
            <a:rPr lang="en-IN" sz="1800" i="1" baseline="0"/>
            <a:t>e Wait Time</a:t>
          </a:r>
          <a:endParaRPr lang="en-IN" sz="1600" i="1"/>
        </a:p>
      </xdr:txBody>
    </xdr:sp>
    <xdr:clientData/>
  </xdr:twoCellAnchor>
  <xdr:twoCellAnchor editAs="absolute">
    <xdr:from>
      <xdr:col>5</xdr:col>
      <xdr:colOff>590176</xdr:colOff>
      <xdr:row>5</xdr:row>
      <xdr:rowOff>162857</xdr:rowOff>
    </xdr:from>
    <xdr:to>
      <xdr:col>9</xdr:col>
      <xdr:colOff>209176</xdr:colOff>
      <xdr:row>7</xdr:row>
      <xdr:rowOff>147916</xdr:rowOff>
    </xdr:to>
    <xdr:sp macro="" textlink="'Pivot Table'!A9">
      <xdr:nvSpPr>
        <xdr:cNvPr id="27" name="TextBox 26">
          <a:extLst>
            <a:ext uri="{FF2B5EF4-FFF2-40B4-BE49-F238E27FC236}">
              <a16:creationId xmlns:a16="http://schemas.microsoft.com/office/drawing/2014/main" id="{272E3130-64E1-8694-8C4B-A58217DE4707}"/>
            </a:ext>
          </a:extLst>
        </xdr:cNvPr>
        <xdr:cNvSpPr txBox="1"/>
      </xdr:nvSpPr>
      <xdr:spPr>
        <a:xfrm>
          <a:off x="3653117" y="1059328"/>
          <a:ext cx="2069353"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60E86C9-013C-4A23-8F34-4D9F23F9084B}" type="TxLink">
            <a:rPr lang="en-US" sz="2000" b="0" i="0" u="none" strike="noStrike">
              <a:solidFill>
                <a:srgbClr val="000000"/>
              </a:solidFill>
              <a:latin typeface="Aptos Narrow"/>
            </a:rPr>
            <a:pPr algn="ctr"/>
            <a:t>34.27</a:t>
          </a:fld>
          <a:endParaRPr lang="en-US" sz="2000" i="1"/>
        </a:p>
      </xdr:txBody>
    </xdr:sp>
    <xdr:clientData/>
  </xdr:twoCellAnchor>
  <xdr:twoCellAnchor editAs="absolute">
    <xdr:from>
      <xdr:col>9</xdr:col>
      <xdr:colOff>254000</xdr:colOff>
      <xdr:row>7</xdr:row>
      <xdr:rowOff>65740</xdr:rowOff>
    </xdr:from>
    <xdr:to>
      <xdr:col>12</xdr:col>
      <xdr:colOff>493066</xdr:colOff>
      <xdr:row>9</xdr:row>
      <xdr:rowOff>43783</xdr:rowOff>
    </xdr:to>
    <xdr:sp macro="" textlink="">
      <xdr:nvSpPr>
        <xdr:cNvPr id="2" name="TextBox 1">
          <a:extLst>
            <a:ext uri="{FF2B5EF4-FFF2-40B4-BE49-F238E27FC236}">
              <a16:creationId xmlns:a16="http://schemas.microsoft.com/office/drawing/2014/main" id="{EF1C6D50-BBAF-6E23-B51B-8E819D74664B}"/>
            </a:ext>
          </a:extLst>
        </xdr:cNvPr>
        <xdr:cNvSpPr txBox="1"/>
      </xdr:nvSpPr>
      <xdr:spPr>
        <a:xfrm>
          <a:off x="5767294" y="1320799"/>
          <a:ext cx="2076831" cy="336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i="1"/>
            <a:t>Satisfaction Score</a:t>
          </a:r>
          <a:r>
            <a:rPr lang="en-IN" sz="1800" i="1" baseline="0"/>
            <a:t> </a:t>
          </a:r>
          <a:endParaRPr lang="en-IN" sz="1600" i="1"/>
        </a:p>
      </xdr:txBody>
    </xdr:sp>
    <xdr:clientData/>
  </xdr:twoCellAnchor>
  <xdr:twoCellAnchor editAs="absolute">
    <xdr:from>
      <xdr:col>9</xdr:col>
      <xdr:colOff>283882</xdr:colOff>
      <xdr:row>5</xdr:row>
      <xdr:rowOff>140445</xdr:rowOff>
    </xdr:from>
    <xdr:to>
      <xdr:col>12</xdr:col>
      <xdr:colOff>515470</xdr:colOff>
      <xdr:row>7</xdr:row>
      <xdr:rowOff>125504</xdr:rowOff>
    </xdr:to>
    <xdr:sp macro="" textlink="'Pivot Table'!A13">
      <xdr:nvSpPr>
        <xdr:cNvPr id="11" name="TextBox 10">
          <a:extLst>
            <a:ext uri="{FF2B5EF4-FFF2-40B4-BE49-F238E27FC236}">
              <a16:creationId xmlns:a16="http://schemas.microsoft.com/office/drawing/2014/main" id="{FD767F45-3B73-0F15-8CBB-39723593125E}"/>
            </a:ext>
          </a:extLst>
        </xdr:cNvPr>
        <xdr:cNvSpPr txBox="1"/>
      </xdr:nvSpPr>
      <xdr:spPr>
        <a:xfrm>
          <a:off x="5797176" y="1036916"/>
          <a:ext cx="2069353"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7CD5071-AE92-4625-83B2-F62E97017EAA}" type="TxLink">
            <a:rPr lang="en-US" sz="2000" b="0" i="0" u="none" strike="noStrike">
              <a:solidFill>
                <a:srgbClr val="000000"/>
              </a:solidFill>
              <a:latin typeface="Aptos Narrow"/>
            </a:rPr>
            <a:pPr algn="ctr"/>
            <a:t>4.98</a:t>
          </a:fld>
          <a:endParaRPr lang="en-US" sz="2000" i="1"/>
        </a:p>
      </xdr:txBody>
    </xdr:sp>
    <xdr:clientData/>
  </xdr:twoCellAnchor>
  <xdr:twoCellAnchor editAs="oneCell">
    <xdr:from>
      <xdr:col>5</xdr:col>
      <xdr:colOff>1</xdr:colOff>
      <xdr:row>5</xdr:row>
      <xdr:rowOff>89650</xdr:rowOff>
    </xdr:from>
    <xdr:to>
      <xdr:col>5</xdr:col>
      <xdr:colOff>418353</xdr:colOff>
      <xdr:row>7</xdr:row>
      <xdr:rowOff>149414</xdr:rowOff>
    </xdr:to>
    <xdr:pic>
      <xdr:nvPicPr>
        <xdr:cNvPr id="17" name="Graphic 16" descr="Male profile with solid fill">
          <a:extLst>
            <a:ext uri="{FF2B5EF4-FFF2-40B4-BE49-F238E27FC236}">
              <a16:creationId xmlns:a16="http://schemas.microsoft.com/office/drawing/2014/main" id="{6319A790-93BD-797F-759B-73F01756089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62942" y="986121"/>
          <a:ext cx="418352" cy="418352"/>
        </a:xfrm>
        <a:prstGeom prst="rect">
          <a:avLst/>
        </a:prstGeom>
      </xdr:spPr>
    </xdr:pic>
    <xdr:clientData/>
  </xdr:twoCellAnchor>
  <xdr:twoCellAnchor editAs="oneCell">
    <xdr:from>
      <xdr:col>12</xdr:col>
      <xdr:colOff>7471</xdr:colOff>
      <xdr:row>5</xdr:row>
      <xdr:rowOff>67236</xdr:rowOff>
    </xdr:from>
    <xdr:to>
      <xdr:col>12</xdr:col>
      <xdr:colOff>470647</xdr:colOff>
      <xdr:row>7</xdr:row>
      <xdr:rowOff>171824</xdr:rowOff>
    </xdr:to>
    <xdr:pic>
      <xdr:nvPicPr>
        <xdr:cNvPr id="28" name="Graphic 27" descr="Rating with solid fill">
          <a:extLst>
            <a:ext uri="{FF2B5EF4-FFF2-40B4-BE49-F238E27FC236}">
              <a16:creationId xmlns:a16="http://schemas.microsoft.com/office/drawing/2014/main" id="{80941AC9-5249-E57C-0D53-4543FCF78B1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358530" y="963707"/>
          <a:ext cx="463176" cy="463176"/>
        </a:xfrm>
        <a:prstGeom prst="rect">
          <a:avLst/>
        </a:prstGeom>
      </xdr:spPr>
    </xdr:pic>
    <xdr:clientData/>
  </xdr:twoCellAnchor>
  <xdr:twoCellAnchor editAs="oneCell">
    <xdr:from>
      <xdr:col>8</xdr:col>
      <xdr:colOff>298823</xdr:colOff>
      <xdr:row>5</xdr:row>
      <xdr:rowOff>97116</xdr:rowOff>
    </xdr:from>
    <xdr:to>
      <xdr:col>9</xdr:col>
      <xdr:colOff>29883</xdr:colOff>
      <xdr:row>7</xdr:row>
      <xdr:rowOff>82176</xdr:rowOff>
    </xdr:to>
    <xdr:pic>
      <xdr:nvPicPr>
        <xdr:cNvPr id="30" name="Graphic 29" descr="Hourglass Full with solid fill">
          <a:extLst>
            <a:ext uri="{FF2B5EF4-FFF2-40B4-BE49-F238E27FC236}">
              <a16:creationId xmlns:a16="http://schemas.microsoft.com/office/drawing/2014/main" id="{ADE9A263-DE0D-754F-9A5A-8591658D31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99529" y="993587"/>
          <a:ext cx="343648" cy="343648"/>
        </a:xfrm>
        <a:prstGeom prst="rect">
          <a:avLst/>
        </a:prstGeom>
      </xdr:spPr>
    </xdr:pic>
    <xdr:clientData/>
  </xdr:twoCellAnchor>
  <xdr:twoCellAnchor editAs="oneCell">
    <xdr:from>
      <xdr:col>0</xdr:col>
      <xdr:colOff>164353</xdr:colOff>
      <xdr:row>5</xdr:row>
      <xdr:rowOff>29882</xdr:rowOff>
    </xdr:from>
    <xdr:to>
      <xdr:col>2</xdr:col>
      <xdr:colOff>112059</xdr:colOff>
      <xdr:row>24</xdr:row>
      <xdr:rowOff>74706</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2F557DD3-E823-4514-9C35-56F7E230889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1706" y="896471"/>
              <a:ext cx="1053353" cy="3503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351120</xdr:colOff>
      <xdr:row>9</xdr:row>
      <xdr:rowOff>29882</xdr:rowOff>
    </xdr:from>
    <xdr:to>
      <xdr:col>5</xdr:col>
      <xdr:colOff>395944</xdr:colOff>
      <xdr:row>11</xdr:row>
      <xdr:rowOff>67236</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0AF4BBA1-6BF7-4A52-9C6D-CBD82B6E6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59764</xdr:colOff>
      <xdr:row>10</xdr:row>
      <xdr:rowOff>7471</xdr:rowOff>
    </xdr:from>
    <xdr:to>
      <xdr:col>9</xdr:col>
      <xdr:colOff>112058</xdr:colOff>
      <xdr:row>11</xdr:row>
      <xdr:rowOff>74707</xdr:rowOff>
    </xdr:to>
    <xdr:graphicFrame macro="">
      <xdr:nvGraphicFramePr>
        <xdr:cNvPr id="12" name="Chart 11">
          <a:hlinkClick xmlns:r="http://schemas.openxmlformats.org/officeDocument/2006/relationships" r:id="rId10"/>
          <a:extLst>
            <a:ext uri="{FF2B5EF4-FFF2-40B4-BE49-F238E27FC236}">
              <a16:creationId xmlns:a16="http://schemas.microsoft.com/office/drawing/2014/main" id="{7CC64F69-FC02-4402-8E52-D62704527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298824</xdr:colOff>
          <xdr:row>11</xdr:row>
          <xdr:rowOff>171823</xdr:rowOff>
        </xdr:from>
        <xdr:to>
          <xdr:col>12</xdr:col>
          <xdr:colOff>470647</xdr:colOff>
          <xdr:row>16</xdr:row>
          <xdr:rowOff>14941</xdr:rowOff>
        </xdr:to>
        <xdr:pic>
          <xdr:nvPicPr>
            <xdr:cNvPr id="51" name="Picture 50">
              <a:extLst>
                <a:ext uri="{FF2B5EF4-FFF2-40B4-BE49-F238E27FC236}">
                  <a16:creationId xmlns:a16="http://schemas.microsoft.com/office/drawing/2014/main" id="{3AA94017-53A5-A462-2762-D405EE114CDD}"/>
                </a:ext>
              </a:extLst>
            </xdr:cNvPr>
            <xdr:cNvPicPr>
              <a:picLocks noChangeAspect="1" noChangeArrowheads="1"/>
              <a:extLst>
                <a:ext uri="{84589F7E-364E-4C9E-8A38-B11213B215E9}">
                  <a14:cameraTool cellRange="'Pivot Table'!$A$52:$D$54" spid="_x0000_s2096"/>
                </a:ext>
              </a:extLst>
            </xdr:cNvPicPr>
          </xdr:nvPicPr>
          <xdr:blipFill>
            <a:blip xmlns:r="http://schemas.openxmlformats.org/officeDocument/2006/relationships" r:embed="rId12"/>
            <a:srcRect/>
            <a:stretch>
              <a:fillRect/>
            </a:stretch>
          </xdr:blipFill>
          <xdr:spPr bwMode="auto">
            <a:xfrm>
              <a:off x="1524000" y="2144058"/>
              <a:ext cx="6297706" cy="73958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395942</xdr:colOff>
      <xdr:row>16</xdr:row>
      <xdr:rowOff>171824</xdr:rowOff>
    </xdr:from>
    <xdr:to>
      <xdr:col>12</xdr:col>
      <xdr:colOff>366059</xdr:colOff>
      <xdr:row>23</xdr:row>
      <xdr:rowOff>67235</xdr:rowOff>
    </xdr:to>
    <xdr:graphicFrame macro="">
      <xdr:nvGraphicFramePr>
        <xdr:cNvPr id="52" name="Chart 51">
          <a:extLst>
            <a:ext uri="{FF2B5EF4-FFF2-40B4-BE49-F238E27FC236}">
              <a16:creationId xmlns:a16="http://schemas.microsoft.com/office/drawing/2014/main" id="{7A2D326C-9584-46BA-A782-363F38D8A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5</xdr:col>
      <xdr:colOff>279400</xdr:colOff>
      <xdr:row>22</xdr:row>
      <xdr:rowOff>98607</xdr:rowOff>
    </xdr:from>
    <xdr:to>
      <xdr:col>8</xdr:col>
      <xdr:colOff>473644</xdr:colOff>
      <xdr:row>24</xdr:row>
      <xdr:rowOff>83666</xdr:rowOff>
    </xdr:to>
    <xdr:sp macro="" textlink="">
      <xdr:nvSpPr>
        <xdr:cNvPr id="54" name="TextBox 53">
          <a:extLst>
            <a:ext uri="{FF2B5EF4-FFF2-40B4-BE49-F238E27FC236}">
              <a16:creationId xmlns:a16="http://schemas.microsoft.com/office/drawing/2014/main" id="{5E6724AC-4FF8-442B-AA06-E56656E73DE8}"/>
            </a:ext>
          </a:extLst>
        </xdr:cNvPr>
        <xdr:cNvSpPr txBox="1"/>
      </xdr:nvSpPr>
      <xdr:spPr>
        <a:xfrm>
          <a:off x="3342341" y="4043078"/>
          <a:ext cx="2032009"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i="0"/>
            <a:t>No.</a:t>
          </a:r>
          <a:r>
            <a:rPr lang="en-IN" sz="1200" i="0" baseline="0"/>
            <a:t> of Patient by Age Group</a:t>
          </a:r>
          <a:endParaRPr lang="en-IN" sz="1100" i="0"/>
        </a:p>
      </xdr:txBody>
    </xdr:sp>
    <xdr:clientData/>
  </xdr:twoCellAnchor>
  <xdr:twoCellAnchor>
    <xdr:from>
      <xdr:col>9</xdr:col>
      <xdr:colOff>351115</xdr:colOff>
      <xdr:row>9</xdr:row>
      <xdr:rowOff>74709</xdr:rowOff>
    </xdr:from>
    <xdr:to>
      <xdr:col>12</xdr:col>
      <xdr:colOff>388469</xdr:colOff>
      <xdr:row>11</xdr:row>
      <xdr:rowOff>74707</xdr:rowOff>
    </xdr:to>
    <xdr:graphicFrame macro="">
      <xdr:nvGraphicFramePr>
        <xdr:cNvPr id="9" name="Chart 8">
          <a:hlinkClick xmlns:r="http://schemas.openxmlformats.org/officeDocument/2006/relationships" r:id="rId14"/>
          <a:extLst>
            <a:ext uri="{FF2B5EF4-FFF2-40B4-BE49-F238E27FC236}">
              <a16:creationId xmlns:a16="http://schemas.microsoft.com/office/drawing/2014/main" id="{0098A95A-CA58-4FDA-94EB-F38B1EC85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33319</xdr:colOff>
      <xdr:row>1</xdr:row>
      <xdr:rowOff>67833</xdr:rowOff>
    </xdr:from>
    <xdr:to>
      <xdr:col>16</xdr:col>
      <xdr:colOff>77694</xdr:colOff>
      <xdr:row>9</xdr:row>
      <xdr:rowOff>12700</xdr:rowOff>
    </xdr:to>
    <xdr:graphicFrame macro="">
      <xdr:nvGraphicFramePr>
        <xdr:cNvPr id="15" name="Chart 14">
          <a:extLst>
            <a:ext uri="{FF2B5EF4-FFF2-40B4-BE49-F238E27FC236}">
              <a16:creationId xmlns:a16="http://schemas.microsoft.com/office/drawing/2014/main" id="{144C2907-85CA-44D3-BE58-D126C2C1D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74707</xdr:colOff>
      <xdr:row>8</xdr:row>
      <xdr:rowOff>127000</xdr:rowOff>
    </xdr:from>
    <xdr:to>
      <xdr:col>16</xdr:col>
      <xdr:colOff>268951</xdr:colOff>
      <xdr:row>10</xdr:row>
      <xdr:rowOff>112059</xdr:rowOff>
    </xdr:to>
    <xdr:sp macro="" textlink="">
      <xdr:nvSpPr>
        <xdr:cNvPr id="21" name="TextBox 20">
          <a:extLst>
            <a:ext uri="{FF2B5EF4-FFF2-40B4-BE49-F238E27FC236}">
              <a16:creationId xmlns:a16="http://schemas.microsoft.com/office/drawing/2014/main" id="{ED346327-3D6C-4422-A2C1-8E8E2DFE4C13}"/>
            </a:ext>
          </a:extLst>
        </xdr:cNvPr>
        <xdr:cNvSpPr txBox="1"/>
      </xdr:nvSpPr>
      <xdr:spPr>
        <a:xfrm>
          <a:off x="8038354" y="1561353"/>
          <a:ext cx="2032009"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i="0"/>
            <a:t>Patient</a:t>
          </a:r>
          <a:r>
            <a:rPr lang="en-IN" sz="1200" i="0" baseline="0"/>
            <a:t> Attend Status</a:t>
          </a:r>
        </a:p>
        <a:p>
          <a:pPr algn="ctr"/>
          <a:endParaRPr lang="en-IN" sz="1100" i="0"/>
        </a:p>
      </xdr:txBody>
    </xdr:sp>
    <xdr:clientData/>
  </xdr:twoCellAnchor>
  <xdr:twoCellAnchor>
    <xdr:from>
      <xdr:col>16</xdr:col>
      <xdr:colOff>336176</xdr:colOff>
      <xdr:row>0</xdr:row>
      <xdr:rowOff>67235</xdr:rowOff>
    </xdr:from>
    <xdr:to>
      <xdr:col>19</xdr:col>
      <xdr:colOff>403412</xdr:colOff>
      <xdr:row>9</xdr:row>
      <xdr:rowOff>97118</xdr:rowOff>
    </xdr:to>
    <xdr:graphicFrame macro="">
      <xdr:nvGraphicFramePr>
        <xdr:cNvPr id="29" name="Chart 28">
          <a:extLst>
            <a:ext uri="{FF2B5EF4-FFF2-40B4-BE49-F238E27FC236}">
              <a16:creationId xmlns:a16="http://schemas.microsoft.com/office/drawing/2014/main" id="{4FCF114D-CCCF-497A-8E0A-6462CEE8A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16</xdr:col>
      <xdr:colOff>443754</xdr:colOff>
      <xdr:row>8</xdr:row>
      <xdr:rowOff>129990</xdr:rowOff>
    </xdr:from>
    <xdr:to>
      <xdr:col>20</xdr:col>
      <xdr:colOff>25410</xdr:colOff>
      <xdr:row>10</xdr:row>
      <xdr:rowOff>115049</xdr:rowOff>
    </xdr:to>
    <xdr:sp macro="" textlink="">
      <xdr:nvSpPr>
        <xdr:cNvPr id="32" name="TextBox 31">
          <a:extLst>
            <a:ext uri="{FF2B5EF4-FFF2-40B4-BE49-F238E27FC236}">
              <a16:creationId xmlns:a16="http://schemas.microsoft.com/office/drawing/2014/main" id="{263DC4C1-26D3-446D-AC45-BBE2F50DEEA2}"/>
            </a:ext>
          </a:extLst>
        </xdr:cNvPr>
        <xdr:cNvSpPr txBox="1"/>
      </xdr:nvSpPr>
      <xdr:spPr>
        <a:xfrm>
          <a:off x="10245166" y="1564343"/>
          <a:ext cx="2032009"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i="0" baseline="0"/>
            <a:t>Genderwise Analysis</a:t>
          </a:r>
        </a:p>
        <a:p>
          <a:pPr algn="ctr"/>
          <a:endParaRPr lang="en-IN" sz="1100" i="0"/>
        </a:p>
      </xdr:txBody>
    </xdr:sp>
    <xdr:clientData/>
  </xdr:twoCellAnchor>
  <xdr:twoCellAnchor>
    <xdr:from>
      <xdr:col>13</xdr:col>
      <xdr:colOff>156882</xdr:colOff>
      <xdr:row>11</xdr:row>
      <xdr:rowOff>112059</xdr:rowOff>
    </xdr:from>
    <xdr:to>
      <xdr:col>19</xdr:col>
      <xdr:colOff>545352</xdr:colOff>
      <xdr:row>22</xdr:row>
      <xdr:rowOff>149411</xdr:rowOff>
    </xdr:to>
    <xdr:graphicFrame macro="">
      <xdr:nvGraphicFramePr>
        <xdr:cNvPr id="33" name="Chart 32">
          <a:extLst>
            <a:ext uri="{FF2B5EF4-FFF2-40B4-BE49-F238E27FC236}">
              <a16:creationId xmlns:a16="http://schemas.microsoft.com/office/drawing/2014/main" id="{DA6AB069-499C-4902-8A60-C2DAD8C3C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14</xdr:col>
      <xdr:colOff>268941</xdr:colOff>
      <xdr:row>22</xdr:row>
      <xdr:rowOff>67235</xdr:rowOff>
    </xdr:from>
    <xdr:to>
      <xdr:col>18</xdr:col>
      <xdr:colOff>485586</xdr:colOff>
      <xdr:row>24</xdr:row>
      <xdr:rowOff>52294</xdr:rowOff>
    </xdr:to>
    <xdr:sp macro="" textlink="">
      <xdr:nvSpPr>
        <xdr:cNvPr id="34" name="TextBox 33">
          <a:extLst>
            <a:ext uri="{FF2B5EF4-FFF2-40B4-BE49-F238E27FC236}">
              <a16:creationId xmlns:a16="http://schemas.microsoft.com/office/drawing/2014/main" id="{54097199-45FD-4526-8A08-5EC247E34658}"/>
            </a:ext>
          </a:extLst>
        </xdr:cNvPr>
        <xdr:cNvSpPr txBox="1"/>
      </xdr:nvSpPr>
      <xdr:spPr>
        <a:xfrm>
          <a:off x="8845176" y="4011706"/>
          <a:ext cx="2666998"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i="0" baseline="0"/>
            <a:t>No. of Patient by Department Referral</a:t>
          </a:r>
        </a:p>
        <a:p>
          <a:pPr algn="ctr"/>
          <a:endParaRPr lang="en-IN" sz="1100" i="0"/>
        </a:p>
      </xdr:txBody>
    </xdr:sp>
    <xdr:clientData/>
  </xdr:twoCellAnchor>
  <xdr:twoCellAnchor editAs="oneCell">
    <xdr:from>
      <xdr:col>10</xdr:col>
      <xdr:colOff>52293</xdr:colOff>
      <xdr:row>1</xdr:row>
      <xdr:rowOff>119530</xdr:rowOff>
    </xdr:from>
    <xdr:to>
      <xdr:col>12</xdr:col>
      <xdr:colOff>440765</xdr:colOff>
      <xdr:row>4</xdr:row>
      <xdr:rowOff>14941</xdr:rowOff>
    </xdr:to>
    <mc:AlternateContent xmlns:mc="http://schemas.openxmlformats.org/markup-compatibility/2006" xmlns:a14="http://schemas.microsoft.com/office/drawing/2010/main">
      <mc:Choice Requires="a14">
        <xdr:graphicFrame macro="">
          <xdr:nvGraphicFramePr>
            <xdr:cNvPr id="35" name="Date (Year)">
              <a:extLst>
                <a:ext uri="{FF2B5EF4-FFF2-40B4-BE49-F238E27FC236}">
                  <a16:creationId xmlns:a16="http://schemas.microsoft.com/office/drawing/2014/main" id="{D9C4377A-5100-4DDC-8364-18308457EAB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178175" y="298824"/>
              <a:ext cx="1613649" cy="433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68580</xdr:colOff>
      <xdr:row>2</xdr:row>
      <xdr:rowOff>7620</xdr:rowOff>
    </xdr:from>
    <xdr:to>
      <xdr:col>18</xdr:col>
      <xdr:colOff>388620</xdr:colOff>
      <xdr:row>23</xdr:row>
      <xdr:rowOff>175260</xdr:rowOff>
    </xdr:to>
    <xdr:graphicFrame macro="">
      <xdr:nvGraphicFramePr>
        <xdr:cNvPr id="2" name="Chart 1">
          <a:extLst>
            <a:ext uri="{FF2B5EF4-FFF2-40B4-BE49-F238E27FC236}">
              <a16:creationId xmlns:a16="http://schemas.microsoft.com/office/drawing/2014/main" id="{69FE4435-7139-4F67-8575-B7EB69D44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0.00471</cdr:x>
      <cdr:y>0.01267</cdr:y>
    </cdr:from>
    <cdr:to>
      <cdr:x>0.05909</cdr:x>
      <cdr:y>0.15906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EC76079-9918-AAFC-5561-8FA3B5C9E7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86770" cy="586737"/>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3</xdr:col>
      <xdr:colOff>91440</xdr:colOff>
      <xdr:row>2</xdr:row>
      <xdr:rowOff>15241</xdr:rowOff>
    </xdr:from>
    <xdr:to>
      <xdr:col>20</xdr:col>
      <xdr:colOff>342900</xdr:colOff>
      <xdr:row>25</xdr:row>
      <xdr:rowOff>91440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323B3D0E-FFBA-42DD-A456-71F99A9AF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0.0558</cdr:x>
      <cdr:y>0.13701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5903043-E298-4D98-F0F7-CB0341722C9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86740" cy="5867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3</xdr:col>
      <xdr:colOff>83820</xdr:colOff>
      <xdr:row>1</xdr:row>
      <xdr:rowOff>175260</xdr:rowOff>
    </xdr:from>
    <xdr:to>
      <xdr:col>18</xdr:col>
      <xdr:colOff>502920</xdr:colOff>
      <xdr:row>24</xdr:row>
      <xdr:rowOff>144780</xdr:rowOff>
    </xdr:to>
    <xdr:graphicFrame macro="">
      <xdr:nvGraphicFramePr>
        <xdr:cNvPr id="3" name="Chart 2">
          <a:extLst>
            <a:ext uri="{FF2B5EF4-FFF2-40B4-BE49-F238E27FC236}">
              <a16:creationId xmlns:a16="http://schemas.microsoft.com/office/drawing/2014/main" id="{E25D2AB5-D44C-4933-8AC6-2489B45B2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0.00467</cdr:x>
      <cdr:y>0.01217</cdr:y>
    </cdr:from>
    <cdr:to>
      <cdr:x>0.05906</cdr:x>
      <cdr:y>0.15268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F484512-9BFF-0AA8-D71F-4AB7C03CC6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92298" cy="58673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1296294" createdVersion="5" refreshedVersion="8" minRefreshableVersion="3" recordCount="0" supportSubquery="1" supportAdvancedDrill="1" xr:uid="{547E285E-CC8B-47DF-9D13-ECAEFAE1F92D}">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1643517" createdVersion="5" refreshedVersion="8" minRefreshableVersion="3" recordCount="0" supportSubquery="1" supportAdvancedDrill="1" xr:uid="{ED2C7D46-BEC5-46A5-930C-63262AFF84E2}">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1875002" createdVersion="5" refreshedVersion="8" minRefreshableVersion="3" recordCount="0" supportSubquery="1" supportAdvancedDrill="1" xr:uid="{1DD0061E-2BFC-47F7-AC8C-AA38B88ECB43}">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2453702" createdVersion="5" refreshedVersion="8" minRefreshableVersion="3" recordCount="0" supportSubquery="1" supportAdvancedDrill="1" xr:uid="{D18A91DF-EA0E-49DB-A2D3-41D9BA7DFD1D}">
  <cacheSource type="external" connectionId="4"/>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2916664" createdVersion="5" refreshedVersion="8" minRefreshableVersion="3" recordCount="0" supportSubquery="1" supportAdvancedDrill="1" xr:uid="{88C5D69C-DDF1-4BD6-A87A-FE18888037E9}">
  <cacheSource type="external" connectionId="4"/>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3495372" createdVersion="5" refreshedVersion="8" minRefreshableVersion="3" recordCount="0" supportSubquery="1" supportAdvancedDrill="1" xr:uid="{FE83040D-1D93-4639-ADF9-6FDF850B5B94}">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3611111" createdVersion="5" refreshedVersion="8" minRefreshableVersion="3" recordCount="0" supportSubquery="1" supportAdvancedDrill="1" xr:uid="{0F615D1B-2A97-45BA-A7F6-09980639F518}">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4189811" createdVersion="5" refreshedVersion="8" minRefreshableVersion="3" recordCount="0" supportSubquery="1" supportAdvancedDrill="1" xr:uid="{62ED6ADF-7704-4211-A9A3-97206A0D7E65}">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4537035" createdVersion="5" refreshedVersion="8" minRefreshableVersion="3" recordCount="0" supportSubquery="1" supportAdvancedDrill="1" xr:uid="{648CFCC5-3A57-4057-B4FD-570823A31BB4}">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4884258" createdVersion="5" refreshedVersion="8" minRefreshableVersion="3" recordCount="0" supportSubquery="1" supportAdvancedDrill="1" xr:uid="{CD614024-0F49-4FEE-8FA7-16FF16851FAE}">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5231481" createdVersion="5" refreshedVersion="8" minRefreshableVersion="3" recordCount="0" supportSubquery="1" supportAdvancedDrill="1" xr:uid="{2DDC9683-1ED4-4FEB-9869-D0DDEBB8617D}">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14.648825578704" createdVersion="5" refreshedVersion="8" minRefreshableVersion="3" recordCount="0" supportSubquery="1" supportAdvancedDrill="1" xr:uid="{6587618C-1900-4040-B605-EB63C4533D27}">
  <cacheSource type="external" connectionId="4"/>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307.988523726854" createdVersion="3" refreshedVersion="8" minRefreshableVersion="3" recordCount="0" supportSubquery="1" supportAdvancedDrill="1" xr:uid="{A92EFE86-FB16-4B7F-B0DE-8AD26F6BBA79}">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766418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4DFC11-70E9-4D6A-A3AC-AEE6BA4069E0}" name="PivotTable10" cacheId="7" applyNumberFormats="0" applyBorderFormats="0" applyFontFormats="0" applyPatternFormats="0" applyAlignmentFormats="0" applyWidthHeightFormats="1" dataCaption="Values" tag="fee099f2-db6a-4eae-8dac-df95b60fe4c3" updatedVersion="8" minRefreshableVersion="3" subtotalHiddenItems="1" itemPrintTitles="1" createdVersion="5" indent="0" outline="1" outlineData="1" multipleFieldFilters="0" chartFormat="44">
  <location ref="A59: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1" count="0"/>
        </references>
      </pivotArea>
    </format>
  </formats>
  <chartFormats count="3">
    <chartFormat chart="34"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2C72B-8B64-43EA-AA4F-B0A4D55344FD}" name="PivotTable1" cacheId="1" applyNumberFormats="0" applyBorderFormats="0" applyFontFormats="0" applyPatternFormats="0" applyAlignmentFormats="0" applyWidthHeightFormats="1" dataCaption="Values" tag="d2fd1be1-7a4b-47d5-85a0-b00fb2510e02"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183E1-D425-47C7-A40C-3197FC77D521}" name="PivotTable7" cacheId="9" applyNumberFormats="0" applyBorderFormats="0" applyFontFormats="0" applyPatternFormats="0" applyAlignmentFormats="0" applyWidthHeightFormats="1" dataCaption="Values" tag="fee099f2-db6a-4eae-8dac-df95b60fe4c3" updatedVersion="8" minRefreshableVersion="3" subtotalHiddenItems="1" itemPrintTitles="1" createdVersion="5" indent="0" outline="1" outlineData="1" multipleFieldFilters="0" chartFormat="53">
  <location ref="A84:B8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4">
      <pivotArea outline="0" collapsedLevelsAreSubtotals="1" fieldPosition="0"/>
    </format>
    <format dxfId="3">
      <pivotArea grandRow="1" outline="0" collapsedLevelsAreSubtotals="1" fieldPosition="0"/>
    </format>
  </formats>
  <chartFormats count="3">
    <chartFormat chart="52" format="4" series="1">
      <pivotArea type="data" outline="0" fieldPosition="0">
        <references count="1">
          <reference field="4294967294" count="1" selected="0">
            <x v="0"/>
          </reference>
        </references>
      </pivotArea>
    </chartFormat>
    <chartFormat chart="52" format="5">
      <pivotArea type="data" outline="0" fieldPosition="0">
        <references count="2">
          <reference field="4294967294" count="1" selected="0">
            <x v="0"/>
          </reference>
          <reference field="1" count="1" selected="0">
            <x v="0"/>
          </reference>
        </references>
      </pivotArea>
    </chartFormat>
    <chartFormat chart="5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748DE-353E-42E1-BEDB-FEA1DCE6F3FF}" name="PivotTable4" cacheId="0" applyNumberFormats="0" applyBorderFormats="0" applyFontFormats="0" applyPatternFormats="0" applyAlignmentFormats="0" applyWidthHeightFormats="1" dataCaption="Values" tag="d2fd1be1-7a4b-47d5-85a0-b00fb2510e02" updatedVersion="8" minRefreshableVersion="3" useAutoFormatting="1" subtotalHiddenItems="1" itemPrintTitles="1" createdVersion="5" indent="0" outline="1" outlineData="1" multipleFieldFilters="0" chartFormat="30">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20" format="19" series="1">
      <pivotArea type="data" outline="0" fieldPosition="0">
        <references count="1">
          <reference field="4294967294" count="1" selected="0">
            <x v="0"/>
          </reference>
        </references>
      </pivotArea>
    </chartFormat>
    <chartFormat chart="23" format="19" series="1">
      <pivotArea type="data" outline="0" fieldPosition="0">
        <references count="1">
          <reference field="4294967294" count="1" selected="0">
            <x v="0"/>
          </reference>
        </references>
      </pivotArea>
    </chartFormat>
    <chartFormat chart="26" format="20" series="1">
      <pivotArea type="data" outline="0" fieldPosition="0">
        <references count="1">
          <reference field="4294967294" count="1" selected="0">
            <x v="0"/>
          </reference>
        </references>
      </pivotArea>
    </chartFormat>
    <chartFormat chart="27" format="2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470E3-C6D3-4143-83CC-676B840BAA12}" name="PivotTable12" cacheId="11" applyNumberFormats="0" applyBorderFormats="0" applyFontFormats="0" applyPatternFormats="0" applyAlignmentFormats="0" applyWidthHeightFormats="1" dataCaption="Values" tag="fee099f2-db6a-4eae-8dac-df95b60fe4c3" updatedVersion="8" minRefreshableVersion="3" subtotalHiddenItems="1" itemPrintTitles="1" createdVersion="5" indent="0" outline="1" outlineData="1" multipleFieldFilters="0" chartFormat="42">
  <location ref="A113:A11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6">
      <pivotArea outline="0" collapsedLevelsAreSubtotals="1" fieldPosition="0"/>
    </format>
    <format dxfId="5">
      <pivotArea grandRow="1"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B589D7-24A0-4571-BB85-A677DBC207B5}" name="PivotTable9" cacheId="6" applyNumberFormats="0" applyBorderFormats="0" applyFontFormats="0" applyPatternFormats="0" applyAlignmentFormats="0" applyWidthHeightFormats="1" dataCaption="Values" tag="fee099f2-db6a-4eae-8dac-df95b60fe4c3"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E9A9F-19F0-4629-A29C-6AF198E10AA3}" name="PivotTable11" cacheId="10" applyNumberFormats="0" applyBorderFormats="0" applyFontFormats="0" applyPatternFormats="0" applyAlignmentFormats="0" applyWidthHeightFormats="1" dataCaption="Values" tag="fee099f2-db6a-4eae-8dac-df95b60fe4c3" updatedVersion="8" minRefreshableVersion="3" subtotalHiddenItems="1" itemPrintTitles="1" createdVersion="5" indent="0" outline="1" outlineData="1" multipleFieldFilters="0" chartFormat="59">
  <location ref="A93:B10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3">
    <format dxfId="10">
      <pivotArea outline="0" collapsedLevelsAreSubtotals="1" fieldPosition="0"/>
    </format>
    <format dxfId="9">
      <pivotArea grandRow="1" outline="0" collapsedLevelsAreSubtotals="1" fieldPosition="0"/>
    </format>
    <format dxfId="8">
      <pivotArea collapsedLevelsAreSubtotals="1" fieldPosition="0">
        <references count="1">
          <reference field="1" count="0"/>
        </references>
      </pivotArea>
    </format>
  </formats>
  <chartFormats count="3">
    <chartFormat chart="53"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8" format="3">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5B15F0-1397-499C-92D8-3C935B4D49F2}" name="PivotTable3" cacheId="8" applyNumberFormats="0" applyBorderFormats="0" applyFontFormats="0" applyPatternFormats="0" applyAlignmentFormats="0" applyWidthHeightFormats="1" dataCaption="Values" tag="fee099f2-db6a-4eae-8dac-df95b60fe4c3" updatedVersion="8" minRefreshableVersion="3" subtotalHiddenItems="1" itemPrintTitles="1" createdVersion="5" indent="0" outline="1" outlineData="1" multipleFieldFilters="0" chartFormat="48">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3">
      <pivotArea outline="0" collapsedLevelsAreSubtotals="1" fieldPosition="0"/>
    </format>
    <format dxfId="12">
      <pivotArea grandRow="1" outline="0" collapsedLevelsAreSubtotals="1" fieldPosition="0"/>
    </format>
    <format dxfId="11">
      <pivotArea collapsedLevelsAreSubtotals="1" fieldPosition="0">
        <references count="1">
          <reference field="1" count="0"/>
        </references>
      </pivotArea>
    </format>
  </formats>
  <chartFormats count="3">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1" count="1" selected="0">
            <x v="0"/>
          </reference>
        </references>
      </pivotArea>
    </chartFormat>
    <chartFormat chart="4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4C40FB-14C7-436E-B072-989AAB14B1F0}" name="PivotTable8" cacheId="5" applyNumberFormats="0" applyBorderFormats="0" applyFontFormats="0" applyPatternFormats="0" applyAlignmentFormats="0" applyWidthHeightFormats="1" dataCaption="Values" tag="fee099f2-db6a-4eae-8dac-df95b60fe4c3" updatedVersion="8" minRefreshableVersion="3" subtotalHiddenItems="1" itemPrintTitles="1" createdVersion="5" indent="0" outline="1" outlineData="1" multipleFieldFilters="0" chartFormat="34">
  <location ref="A44:C4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18">
      <pivotArea outline="0" collapsedLevelsAreSubtotals="1" fieldPosition="0"/>
    </format>
    <format dxfId="17">
      <pivotArea collapsedLevelsAreSubtotals="1" fieldPosition="0">
        <references count="1">
          <reference field="1" count="1">
            <x v="0"/>
          </reference>
        </references>
      </pivotArea>
    </format>
    <format dxfId="16">
      <pivotArea collapsedLevelsAreSubtotals="1" fieldPosition="0">
        <references count="1">
          <reference field="1" count="1">
            <x v="1"/>
          </reference>
        </references>
      </pivotArea>
    </format>
    <format dxfId="15">
      <pivotArea grandRow="1" outline="0" collapsedLevelsAreSubtotals="1" fieldPosition="0"/>
    </format>
    <format dxfId="1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046FDA-7E79-4683-8203-8A0065B9FD6C}" name="PivotTable6" cacheId="4" applyNumberFormats="0" applyBorderFormats="0" applyFontFormats="0" applyPatternFormats="0" applyAlignmentFormats="0" applyWidthHeightFormats="1" dataCaption="Values" tag="d2fd1be1-7a4b-47d5-85a0-b00fb2510e02" updatedVersion="8" minRefreshableVersion="3" useAutoFormatting="1" subtotalHiddenItems="1" itemPrintTitles="1" createdVersion="5" indent="0" outline="1" outlineData="1" multipleFieldFilters="0" chartFormat="50">
  <location ref="M4:N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9">
      <pivotArea collapsedLevelsAreSubtotals="1" fieldPosition="0">
        <references count="1">
          <reference field="0" count="0"/>
        </references>
      </pivotArea>
    </format>
  </formats>
  <chartFormats count="3">
    <chartFormat chart="42"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1FDD72-A7B0-4ACC-AD95-AD13B25A5712}" name="PivotTable2" cacheId="2" applyNumberFormats="0" applyBorderFormats="0" applyFontFormats="0" applyPatternFormats="0" applyAlignmentFormats="0" applyWidthHeightFormats="1" dataCaption="Values" tag="15b29a2d-4710-47ca-a5cf-f9856cf3b86e"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0">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CE5D5F-9964-4DED-84C0-A5900CA39A5F}" name="PivotTable5" cacheId="3" applyNumberFormats="0" applyBorderFormats="0" applyFontFormats="0" applyPatternFormats="0" applyAlignmentFormats="0" applyWidthHeightFormats="1" dataCaption="Values" tag="d2fd1be1-7a4b-47d5-85a0-b00fb2510e02" updatedVersion="8" minRefreshableVersion="3" useAutoFormatting="1" subtotalHiddenItems="1" itemPrintTitles="1" createdVersion="5" indent="0" outline="1" outlineData="1" multipleFieldFilters="0" chartFormat="35">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21">
      <pivotArea collapsedLevelsAreSubtotals="1" fieldPosition="0">
        <references count="1">
          <reference field="0" count="0"/>
        </references>
      </pivotArea>
    </format>
  </formats>
  <chartFormats count="3">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0031D6F-4837-4A80-AECA-DB33E75B952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Date]" tableColumnId="2"/>
      <queryTableField id="3" name="Hospital Emergency Room Data[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2EE9660-8DCD-4E61-8366-50C9F2AE0F89}" sourceName="[Calendar_table].[Date (Month)]">
  <pivotTables>
    <pivotTable tabId="1" name="PivotTable4"/>
    <pivotTable tabId="1" name="PivotTable1"/>
    <pivotTable tabId="1" name="PivotTable2"/>
    <pivotTable tabId="1" name="PivotTable5"/>
    <pivotTable tabId="1" name="PivotTable6"/>
    <pivotTable tabId="1" name="PivotTable8"/>
    <pivotTable tabId="1" name="PivotTable9"/>
    <pivotTable tabId="1" name="PivotTable10"/>
    <pivotTable tabId="1" name="PivotTable3"/>
    <pivotTable tabId="1" name="PivotTable7"/>
    <pivotTable tabId="1" name="PivotTable11"/>
    <pivotTable tabId="1" name="PivotTable12"/>
  </pivotTables>
  <data>
    <olap pivotCacheId="117664184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A218EE4-7BF3-4830-9FEB-19031A3F8F6A}"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7664184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310B313-FD13-46E9-9396-157D85274D92}" cache="Slicer_Date__Month" caption="Date (Month)" showCaption="0" level="1" style="mystyle8" rowHeight="247650"/>
  <slicer name="Date (Year)" xr10:uid="{64BE7D73-4E11-461E-88CC-658527C034FA}" cache="Slicer_Date__Year" caption="Date (Year)" columnCount="2" showCaption="0" level="1" style="mystyle8"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12FCE-67FD-403E-892A-AE08DCB4295A}" name="Table_ExternalData_1" displayName="Table_ExternalData_1" ref="A3:M46" tableType="queryTable" totalsRowShown="0">
  <autoFilter ref="A3:M46" xr:uid="{6D312FCE-67FD-403E-892A-AE08DCB4295A}"/>
  <tableColumns count="13">
    <tableColumn id="1" xr3:uid="{4D0C83F6-D8E2-41AB-A371-0B75350BD237}" uniqueName="1" name="Hospital Emergency Room Data[Patient Id]" queryTableFieldId="1"/>
    <tableColumn id="2" xr3:uid="{03ADDAF7-50AA-45FF-9844-5E92D6F3AE3A}" uniqueName="2" name="Hospital Emergency Room Data[Date]" queryTableFieldId="2" dataDxfId="23"/>
    <tableColumn id="3" xr3:uid="{2E5B8C8E-E92F-436A-9014-2AEB29554AC2}" uniqueName="3" name="Hospital Emergency Room Data[Time]" queryTableFieldId="3" dataDxfId="22"/>
    <tableColumn id="4" xr3:uid="{CED93C1F-5BAB-4B9B-B9E3-FBCA036A26FB}" uniqueName="4" name="Hospital Emergency Room Data[Patient Name]" queryTableFieldId="4"/>
    <tableColumn id="5" xr3:uid="{242675E4-9D86-45BE-845F-0689DEAD1CE7}" uniqueName="5" name="Hospital Emergency Room Data[Patient Gender]" queryTableFieldId="5"/>
    <tableColumn id="6" xr3:uid="{14BA5280-CE29-4D2A-8AF8-45BBC6542275}" uniqueName="6" name="Hospital Emergency Room Data[Patient Age]" queryTableFieldId="6"/>
    <tableColumn id="7" xr3:uid="{E7F0491C-CD7D-47B5-ADA3-0D2CDB9AB44F}" uniqueName="7" name="Hospital Emergency Room Data[Patient Race]" queryTableFieldId="7"/>
    <tableColumn id="8" xr3:uid="{E666063F-A5F5-4964-9669-4ACFDC21942D}" uniqueName="8" name="Hospital Emergency Room Data[Department Referral]" queryTableFieldId="8"/>
    <tableColumn id="9" xr3:uid="{5EA932EA-9EAA-4E94-B7BE-73057C731709}" uniqueName="9" name="Hospital Emergency Room Data[Patient Admission Flag]" queryTableFieldId="9"/>
    <tableColumn id="10" xr3:uid="{D03EFE13-D40A-4760-ADAA-41582A21A111}" uniqueName="10" name="Hospital Emergency Room Data[Patient Satisfaction Score]" queryTableFieldId="10"/>
    <tableColumn id="11" xr3:uid="{3BC1F5AB-4D8D-489F-A53C-082F291105AD}" uniqueName="11" name="Hospital Emergency Room Data[Patient Waittime]" queryTableFieldId="11"/>
    <tableColumn id="12" xr3:uid="{23ADD585-9D70-4A2E-9E91-48179907ADA4}" uniqueName="12" name="Hospital Emergency Room Data[Age Group]" queryTableFieldId="12"/>
    <tableColumn id="13" xr3:uid="{A9E4BFC9-6453-47F9-BD67-25FBEF87AA2E}"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F51CD-9AB7-4E4F-A4B9-DB81B909D552}">
  <dimension ref="A1:M46"/>
  <sheetViews>
    <sheetView workbookViewId="0">
      <selection activeCell="C5" sqref="C5:C6"/>
    </sheetView>
  </sheetViews>
  <sheetFormatPr defaultRowHeight="14.4" x14ac:dyDescent="0.3"/>
  <cols>
    <col min="1" max="1" width="38.88671875" bestFit="1" customWidth="1"/>
    <col min="2" max="2" width="34.6640625" bestFit="1" customWidth="1"/>
    <col min="3" max="3" width="34.886718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7" t="s">
        <v>135</v>
      </c>
    </row>
    <row r="3" spans="1:13" x14ac:dyDescent="0.3">
      <c r="A3" t="s">
        <v>8</v>
      </c>
      <c r="B3" t="s">
        <v>9</v>
      </c>
      <c r="C3" t="s">
        <v>10</v>
      </c>
      <c r="D3" t="s">
        <v>11</v>
      </c>
      <c r="E3" t="s">
        <v>12</v>
      </c>
      <c r="F3" t="s">
        <v>13</v>
      </c>
      <c r="G3" t="s">
        <v>14</v>
      </c>
      <c r="H3" t="s">
        <v>15</v>
      </c>
      <c r="I3" t="s">
        <v>16</v>
      </c>
      <c r="J3" t="s">
        <v>17</v>
      </c>
      <c r="K3" t="s">
        <v>18</v>
      </c>
      <c r="L3" t="s">
        <v>19</v>
      </c>
      <c r="M3" t="s">
        <v>20</v>
      </c>
    </row>
    <row r="4" spans="1:13" x14ac:dyDescent="0.3">
      <c r="A4" t="s">
        <v>21</v>
      </c>
      <c r="B4" s="5">
        <v>45078</v>
      </c>
      <c r="C4" s="6">
        <v>0.10902777777777778</v>
      </c>
      <c r="D4" t="s">
        <v>22</v>
      </c>
      <c r="E4" t="s">
        <v>23</v>
      </c>
      <c r="F4">
        <v>26</v>
      </c>
      <c r="G4" t="s">
        <v>24</v>
      </c>
      <c r="H4" t="s">
        <v>25</v>
      </c>
      <c r="I4" t="s">
        <v>26</v>
      </c>
      <c r="K4">
        <v>56</v>
      </c>
      <c r="L4" t="s">
        <v>27</v>
      </c>
      <c r="M4" t="s">
        <v>28</v>
      </c>
    </row>
    <row r="5" spans="1:13" x14ac:dyDescent="0.3">
      <c r="A5" t="s">
        <v>29</v>
      </c>
      <c r="B5" s="5">
        <v>45078</v>
      </c>
      <c r="C5" s="6">
        <v>0.13333333333333333</v>
      </c>
      <c r="D5" t="s">
        <v>30</v>
      </c>
      <c r="E5" t="s">
        <v>31</v>
      </c>
      <c r="F5">
        <v>36</v>
      </c>
      <c r="G5" t="s">
        <v>24</v>
      </c>
      <c r="H5" t="s">
        <v>25</v>
      </c>
      <c r="I5" t="s">
        <v>32</v>
      </c>
      <c r="K5">
        <v>37</v>
      </c>
      <c r="L5" t="s">
        <v>33</v>
      </c>
      <c r="M5" t="s">
        <v>28</v>
      </c>
    </row>
    <row r="6" spans="1:13" x14ac:dyDescent="0.3">
      <c r="A6" t="s">
        <v>34</v>
      </c>
      <c r="B6" s="5">
        <v>45444</v>
      </c>
      <c r="C6" s="6">
        <v>0.15763888888888888</v>
      </c>
      <c r="D6" t="s">
        <v>35</v>
      </c>
      <c r="E6" t="s">
        <v>23</v>
      </c>
      <c r="F6">
        <v>22</v>
      </c>
      <c r="G6" t="s">
        <v>36</v>
      </c>
      <c r="H6" t="s">
        <v>25</v>
      </c>
      <c r="I6" t="s">
        <v>26</v>
      </c>
      <c r="K6">
        <v>41</v>
      </c>
      <c r="L6" t="s">
        <v>27</v>
      </c>
      <c r="M6" t="s">
        <v>28</v>
      </c>
    </row>
    <row r="7" spans="1:13" x14ac:dyDescent="0.3">
      <c r="A7" t="s">
        <v>37</v>
      </c>
      <c r="B7" s="5">
        <v>45078</v>
      </c>
      <c r="C7" s="6">
        <v>3.7499999999999999E-2</v>
      </c>
      <c r="D7" t="s">
        <v>38</v>
      </c>
      <c r="E7" t="s">
        <v>31</v>
      </c>
      <c r="F7">
        <v>39</v>
      </c>
      <c r="G7" t="s">
        <v>36</v>
      </c>
      <c r="H7" t="s">
        <v>25</v>
      </c>
      <c r="I7" t="s">
        <v>26</v>
      </c>
      <c r="K7">
        <v>12</v>
      </c>
      <c r="L7" t="s">
        <v>33</v>
      </c>
      <c r="M7" t="s">
        <v>39</v>
      </c>
    </row>
    <row r="8" spans="1:13" x14ac:dyDescent="0.3">
      <c r="A8" t="s">
        <v>40</v>
      </c>
      <c r="B8" s="5">
        <v>45444</v>
      </c>
      <c r="C8" s="6">
        <v>0.60763888888888884</v>
      </c>
      <c r="D8" t="s">
        <v>41</v>
      </c>
      <c r="E8" t="s">
        <v>23</v>
      </c>
      <c r="F8">
        <v>19</v>
      </c>
      <c r="G8" t="s">
        <v>42</v>
      </c>
      <c r="H8" t="s">
        <v>25</v>
      </c>
      <c r="I8" t="s">
        <v>32</v>
      </c>
      <c r="K8">
        <v>47</v>
      </c>
      <c r="L8" t="s">
        <v>43</v>
      </c>
      <c r="M8" t="s">
        <v>28</v>
      </c>
    </row>
    <row r="9" spans="1:13" x14ac:dyDescent="0.3">
      <c r="A9" t="s">
        <v>44</v>
      </c>
      <c r="B9" s="5">
        <v>45078</v>
      </c>
      <c r="C9" s="6">
        <v>0.39861111111111114</v>
      </c>
      <c r="D9" t="s">
        <v>45</v>
      </c>
      <c r="E9" t="s">
        <v>31</v>
      </c>
      <c r="F9">
        <v>3</v>
      </c>
      <c r="G9" t="s">
        <v>42</v>
      </c>
      <c r="H9" t="s">
        <v>25</v>
      </c>
      <c r="I9" t="s">
        <v>32</v>
      </c>
      <c r="K9">
        <v>43</v>
      </c>
      <c r="L9" t="s">
        <v>46</v>
      </c>
      <c r="M9" t="s">
        <v>28</v>
      </c>
    </row>
    <row r="10" spans="1:13" x14ac:dyDescent="0.3">
      <c r="A10" t="s">
        <v>47</v>
      </c>
      <c r="B10" s="5">
        <v>45444</v>
      </c>
      <c r="C10" s="6">
        <v>0.32430555555555557</v>
      </c>
      <c r="D10" t="s">
        <v>48</v>
      </c>
      <c r="E10" t="s">
        <v>31</v>
      </c>
      <c r="F10">
        <v>9</v>
      </c>
      <c r="G10" t="s">
        <v>42</v>
      </c>
      <c r="H10" t="s">
        <v>25</v>
      </c>
      <c r="I10" t="s">
        <v>32</v>
      </c>
      <c r="K10">
        <v>54</v>
      </c>
      <c r="L10" t="s">
        <v>46</v>
      </c>
      <c r="M10" t="s">
        <v>28</v>
      </c>
    </row>
    <row r="11" spans="1:13" x14ac:dyDescent="0.3">
      <c r="A11" t="s">
        <v>49</v>
      </c>
      <c r="B11" s="5">
        <v>45078</v>
      </c>
      <c r="C11" s="6">
        <v>0.8833333333333333</v>
      </c>
      <c r="D11" t="s">
        <v>50</v>
      </c>
      <c r="E11" t="s">
        <v>31</v>
      </c>
      <c r="F11">
        <v>18</v>
      </c>
      <c r="G11" t="s">
        <v>42</v>
      </c>
      <c r="H11" t="s">
        <v>25</v>
      </c>
      <c r="I11" t="s">
        <v>32</v>
      </c>
      <c r="K11">
        <v>39</v>
      </c>
      <c r="L11" t="s">
        <v>43</v>
      </c>
      <c r="M11" t="s">
        <v>28</v>
      </c>
    </row>
    <row r="12" spans="1:13" x14ac:dyDescent="0.3">
      <c r="A12" t="s">
        <v>51</v>
      </c>
      <c r="B12" s="5">
        <v>45444</v>
      </c>
      <c r="C12" s="6">
        <v>5.347222222222222E-2</v>
      </c>
      <c r="D12" t="s">
        <v>52</v>
      </c>
      <c r="E12" t="s">
        <v>31</v>
      </c>
      <c r="F12">
        <v>11</v>
      </c>
      <c r="G12" t="s">
        <v>53</v>
      </c>
      <c r="H12" t="s">
        <v>25</v>
      </c>
      <c r="I12" t="s">
        <v>26</v>
      </c>
      <c r="K12">
        <v>19</v>
      </c>
      <c r="L12" t="s">
        <v>43</v>
      </c>
      <c r="M12" t="s">
        <v>39</v>
      </c>
    </row>
    <row r="13" spans="1:13" x14ac:dyDescent="0.3">
      <c r="A13" t="s">
        <v>54</v>
      </c>
      <c r="B13" s="5">
        <v>45444</v>
      </c>
      <c r="C13" s="6">
        <v>0.44027777777777777</v>
      </c>
      <c r="D13" t="s">
        <v>55</v>
      </c>
      <c r="E13" t="s">
        <v>31</v>
      </c>
      <c r="F13">
        <v>48</v>
      </c>
      <c r="G13" t="s">
        <v>53</v>
      </c>
      <c r="H13" t="s">
        <v>25</v>
      </c>
      <c r="I13" t="s">
        <v>32</v>
      </c>
      <c r="K13">
        <v>35</v>
      </c>
      <c r="L13" t="s">
        <v>56</v>
      </c>
      <c r="M13" t="s">
        <v>28</v>
      </c>
    </row>
    <row r="14" spans="1:13" x14ac:dyDescent="0.3">
      <c r="A14" t="s">
        <v>57</v>
      </c>
      <c r="B14" s="5">
        <v>45078</v>
      </c>
      <c r="C14" s="6">
        <v>0.74444444444444446</v>
      </c>
      <c r="D14" t="s">
        <v>58</v>
      </c>
      <c r="E14" t="s">
        <v>31</v>
      </c>
      <c r="F14">
        <v>54</v>
      </c>
      <c r="G14" t="s">
        <v>53</v>
      </c>
      <c r="H14" t="s">
        <v>25</v>
      </c>
      <c r="I14" t="s">
        <v>32</v>
      </c>
      <c r="K14">
        <v>11</v>
      </c>
      <c r="L14" t="s">
        <v>59</v>
      </c>
      <c r="M14" t="s">
        <v>39</v>
      </c>
    </row>
    <row r="15" spans="1:13" x14ac:dyDescent="0.3">
      <c r="A15" t="s">
        <v>60</v>
      </c>
      <c r="B15" s="5">
        <v>45078</v>
      </c>
      <c r="C15" s="6">
        <v>0.42291666666666666</v>
      </c>
      <c r="D15" t="s">
        <v>61</v>
      </c>
      <c r="E15" t="s">
        <v>31</v>
      </c>
      <c r="F15">
        <v>8</v>
      </c>
      <c r="G15" t="s">
        <v>53</v>
      </c>
      <c r="H15" t="s">
        <v>25</v>
      </c>
      <c r="I15" t="s">
        <v>32</v>
      </c>
      <c r="K15">
        <v>54</v>
      </c>
      <c r="L15" t="s">
        <v>46</v>
      </c>
      <c r="M15" t="s">
        <v>28</v>
      </c>
    </row>
    <row r="16" spans="1:13" x14ac:dyDescent="0.3">
      <c r="A16" t="s">
        <v>62</v>
      </c>
      <c r="B16" s="5">
        <v>45078</v>
      </c>
      <c r="C16" s="6">
        <v>0.73333333333333328</v>
      </c>
      <c r="D16" t="s">
        <v>63</v>
      </c>
      <c r="E16" t="s">
        <v>31</v>
      </c>
      <c r="F16">
        <v>23</v>
      </c>
      <c r="G16" t="s">
        <v>53</v>
      </c>
      <c r="H16" t="s">
        <v>25</v>
      </c>
      <c r="I16" t="s">
        <v>32</v>
      </c>
      <c r="K16">
        <v>57</v>
      </c>
      <c r="L16" t="s">
        <v>27</v>
      </c>
      <c r="M16" t="s">
        <v>28</v>
      </c>
    </row>
    <row r="17" spans="1:13" x14ac:dyDescent="0.3">
      <c r="A17" t="s">
        <v>64</v>
      </c>
      <c r="B17" s="5">
        <v>45444</v>
      </c>
      <c r="C17" s="6">
        <v>0.47986111111111113</v>
      </c>
      <c r="D17" t="s">
        <v>65</v>
      </c>
      <c r="E17" t="s">
        <v>23</v>
      </c>
      <c r="F17">
        <v>18</v>
      </c>
      <c r="G17" t="s">
        <v>66</v>
      </c>
      <c r="H17" t="s">
        <v>25</v>
      </c>
      <c r="I17" t="s">
        <v>26</v>
      </c>
      <c r="K17">
        <v>17</v>
      </c>
      <c r="L17" t="s">
        <v>43</v>
      </c>
      <c r="M17" t="s">
        <v>39</v>
      </c>
    </row>
    <row r="18" spans="1:13" x14ac:dyDescent="0.3">
      <c r="A18" t="s">
        <v>67</v>
      </c>
      <c r="B18" s="5">
        <v>45078</v>
      </c>
      <c r="C18" s="6">
        <v>0.73124999999999996</v>
      </c>
      <c r="D18" t="s">
        <v>68</v>
      </c>
      <c r="E18" t="s">
        <v>31</v>
      </c>
      <c r="F18">
        <v>73</v>
      </c>
      <c r="G18" t="s">
        <v>66</v>
      </c>
      <c r="H18" t="s">
        <v>25</v>
      </c>
      <c r="I18" t="s">
        <v>26</v>
      </c>
      <c r="K18">
        <v>18</v>
      </c>
      <c r="L18" t="s">
        <v>69</v>
      </c>
      <c r="M18" t="s">
        <v>39</v>
      </c>
    </row>
    <row r="19" spans="1:13" x14ac:dyDescent="0.3">
      <c r="A19" t="s">
        <v>70</v>
      </c>
      <c r="B19" s="5">
        <v>45444</v>
      </c>
      <c r="C19" s="6">
        <v>0.93472222222222223</v>
      </c>
      <c r="D19" t="s">
        <v>71</v>
      </c>
      <c r="E19" t="s">
        <v>23</v>
      </c>
      <c r="F19">
        <v>43</v>
      </c>
      <c r="G19" t="s">
        <v>66</v>
      </c>
      <c r="H19" t="s">
        <v>25</v>
      </c>
      <c r="I19" t="s">
        <v>32</v>
      </c>
      <c r="K19">
        <v>25</v>
      </c>
      <c r="L19" t="s">
        <v>56</v>
      </c>
      <c r="M19" t="s">
        <v>39</v>
      </c>
    </row>
    <row r="20" spans="1:13" x14ac:dyDescent="0.3">
      <c r="A20" t="s">
        <v>72</v>
      </c>
      <c r="B20" s="5">
        <v>45444</v>
      </c>
      <c r="C20" s="6">
        <v>0.25694444444444442</v>
      </c>
      <c r="D20" t="s">
        <v>73</v>
      </c>
      <c r="E20" t="s">
        <v>23</v>
      </c>
      <c r="F20">
        <v>79</v>
      </c>
      <c r="G20" t="s">
        <v>66</v>
      </c>
      <c r="H20" t="s">
        <v>25</v>
      </c>
      <c r="I20" t="s">
        <v>32</v>
      </c>
      <c r="K20">
        <v>37</v>
      </c>
      <c r="L20" t="s">
        <v>69</v>
      </c>
      <c r="M20" t="s">
        <v>28</v>
      </c>
    </row>
    <row r="21" spans="1:13" x14ac:dyDescent="0.3">
      <c r="A21" t="s">
        <v>74</v>
      </c>
      <c r="B21" s="5">
        <v>45444</v>
      </c>
      <c r="C21" s="6">
        <v>0.64861111111111114</v>
      </c>
      <c r="D21" t="s">
        <v>75</v>
      </c>
      <c r="E21" t="s">
        <v>31</v>
      </c>
      <c r="F21">
        <v>4</v>
      </c>
      <c r="G21" t="s">
        <v>66</v>
      </c>
      <c r="H21" t="s">
        <v>25</v>
      </c>
      <c r="I21" t="s">
        <v>32</v>
      </c>
      <c r="K21">
        <v>16</v>
      </c>
      <c r="L21" t="s">
        <v>46</v>
      </c>
      <c r="M21" t="s">
        <v>39</v>
      </c>
    </row>
    <row r="22" spans="1:13" x14ac:dyDescent="0.3">
      <c r="A22" t="s">
        <v>76</v>
      </c>
      <c r="B22" s="5">
        <v>45078</v>
      </c>
      <c r="C22" s="6">
        <v>0.55763888888888891</v>
      </c>
      <c r="D22" t="s">
        <v>77</v>
      </c>
      <c r="E22" t="s">
        <v>31</v>
      </c>
      <c r="F22">
        <v>67</v>
      </c>
      <c r="G22" t="s">
        <v>78</v>
      </c>
      <c r="H22" t="s">
        <v>25</v>
      </c>
      <c r="I22" t="s">
        <v>32</v>
      </c>
      <c r="K22">
        <v>39</v>
      </c>
      <c r="L22" t="s">
        <v>79</v>
      </c>
      <c r="M22" t="s">
        <v>28</v>
      </c>
    </row>
    <row r="23" spans="1:13" x14ac:dyDescent="0.3">
      <c r="A23" t="s">
        <v>80</v>
      </c>
      <c r="B23" s="5">
        <v>45078</v>
      </c>
      <c r="C23" s="6">
        <v>0.32500000000000001</v>
      </c>
      <c r="D23" t="s">
        <v>81</v>
      </c>
      <c r="E23" t="s">
        <v>31</v>
      </c>
      <c r="F23">
        <v>30</v>
      </c>
      <c r="G23" t="s">
        <v>78</v>
      </c>
      <c r="H23" t="s">
        <v>25</v>
      </c>
      <c r="I23" t="s">
        <v>26</v>
      </c>
      <c r="K23">
        <v>19</v>
      </c>
      <c r="L23" t="s">
        <v>27</v>
      </c>
      <c r="M23" t="s">
        <v>39</v>
      </c>
    </row>
    <row r="24" spans="1:13" x14ac:dyDescent="0.3">
      <c r="A24" t="s">
        <v>82</v>
      </c>
      <c r="B24" s="5">
        <v>45444</v>
      </c>
      <c r="C24" s="6">
        <v>0.89027777777777772</v>
      </c>
      <c r="D24" t="s">
        <v>83</v>
      </c>
      <c r="E24" t="s">
        <v>31</v>
      </c>
      <c r="F24">
        <v>49</v>
      </c>
      <c r="G24" t="s">
        <v>84</v>
      </c>
      <c r="H24" t="s">
        <v>25</v>
      </c>
      <c r="I24" t="s">
        <v>26</v>
      </c>
      <c r="K24">
        <v>16</v>
      </c>
      <c r="L24" t="s">
        <v>56</v>
      </c>
      <c r="M24" t="s">
        <v>39</v>
      </c>
    </row>
    <row r="25" spans="1:13" x14ac:dyDescent="0.3">
      <c r="A25" t="s">
        <v>85</v>
      </c>
      <c r="B25" s="5">
        <v>45078</v>
      </c>
      <c r="C25" s="6">
        <v>3.9583333333333331E-2</v>
      </c>
      <c r="D25" t="s">
        <v>86</v>
      </c>
      <c r="E25" t="s">
        <v>31</v>
      </c>
      <c r="F25">
        <v>7</v>
      </c>
      <c r="G25" t="s">
        <v>84</v>
      </c>
      <c r="H25" t="s">
        <v>25</v>
      </c>
      <c r="I25" t="s">
        <v>26</v>
      </c>
      <c r="K25">
        <v>30</v>
      </c>
      <c r="L25" t="s">
        <v>46</v>
      </c>
      <c r="M25" t="s">
        <v>39</v>
      </c>
    </row>
    <row r="26" spans="1:13" x14ac:dyDescent="0.3">
      <c r="A26" t="s">
        <v>87</v>
      </c>
      <c r="B26" s="5">
        <v>45078</v>
      </c>
      <c r="C26" s="6">
        <v>0.48333333333333334</v>
      </c>
      <c r="D26" t="s">
        <v>88</v>
      </c>
      <c r="E26" t="s">
        <v>31</v>
      </c>
      <c r="F26">
        <v>40</v>
      </c>
      <c r="G26" t="s">
        <v>84</v>
      </c>
      <c r="H26" t="s">
        <v>89</v>
      </c>
      <c r="I26" t="s">
        <v>26</v>
      </c>
      <c r="K26">
        <v>41</v>
      </c>
      <c r="L26" t="s">
        <v>33</v>
      </c>
      <c r="M26" t="s">
        <v>28</v>
      </c>
    </row>
    <row r="27" spans="1:13" x14ac:dyDescent="0.3">
      <c r="A27" t="s">
        <v>90</v>
      </c>
      <c r="B27" s="5">
        <v>45078</v>
      </c>
      <c r="C27" s="6">
        <v>0.4548611111111111</v>
      </c>
      <c r="D27" t="s">
        <v>91</v>
      </c>
      <c r="E27" t="s">
        <v>23</v>
      </c>
      <c r="F27">
        <v>63</v>
      </c>
      <c r="G27" t="s">
        <v>53</v>
      </c>
      <c r="H27" t="s">
        <v>89</v>
      </c>
      <c r="I27" t="s">
        <v>26</v>
      </c>
      <c r="K27">
        <v>41</v>
      </c>
      <c r="L27" t="s">
        <v>79</v>
      </c>
      <c r="M27" t="s">
        <v>28</v>
      </c>
    </row>
    <row r="28" spans="1:13" x14ac:dyDescent="0.3">
      <c r="A28" t="s">
        <v>92</v>
      </c>
      <c r="B28" s="5">
        <v>45078</v>
      </c>
      <c r="C28" s="6">
        <v>0.55833333333333335</v>
      </c>
      <c r="D28" t="s">
        <v>93</v>
      </c>
      <c r="E28" t="s">
        <v>31</v>
      </c>
      <c r="F28">
        <v>67</v>
      </c>
      <c r="G28" t="s">
        <v>36</v>
      </c>
      <c r="H28" t="s">
        <v>89</v>
      </c>
      <c r="I28" t="s">
        <v>26</v>
      </c>
      <c r="K28">
        <v>17</v>
      </c>
      <c r="L28" t="s">
        <v>79</v>
      </c>
      <c r="M28" t="s">
        <v>39</v>
      </c>
    </row>
    <row r="29" spans="1:13" x14ac:dyDescent="0.3">
      <c r="A29" t="s">
        <v>94</v>
      </c>
      <c r="B29" s="5">
        <v>45078</v>
      </c>
      <c r="C29" s="6">
        <v>0.36249999999999999</v>
      </c>
      <c r="D29" t="s">
        <v>95</v>
      </c>
      <c r="E29" t="s">
        <v>31</v>
      </c>
      <c r="F29">
        <v>66</v>
      </c>
      <c r="G29" t="s">
        <v>24</v>
      </c>
      <c r="H29" t="s">
        <v>89</v>
      </c>
      <c r="I29" t="s">
        <v>26</v>
      </c>
      <c r="K29">
        <v>31</v>
      </c>
      <c r="L29" t="s">
        <v>79</v>
      </c>
      <c r="M29" t="s">
        <v>28</v>
      </c>
    </row>
    <row r="30" spans="1:13" x14ac:dyDescent="0.3">
      <c r="A30" t="s">
        <v>96</v>
      </c>
      <c r="B30" s="5">
        <v>45078</v>
      </c>
      <c r="C30" s="6">
        <v>0.93333333333333335</v>
      </c>
      <c r="D30" t="s">
        <v>97</v>
      </c>
      <c r="E30" t="s">
        <v>23</v>
      </c>
      <c r="F30">
        <v>27</v>
      </c>
      <c r="G30" t="s">
        <v>24</v>
      </c>
      <c r="H30" t="s">
        <v>89</v>
      </c>
      <c r="I30" t="s">
        <v>32</v>
      </c>
      <c r="K30">
        <v>46</v>
      </c>
      <c r="L30" t="s">
        <v>27</v>
      </c>
      <c r="M30" t="s">
        <v>28</v>
      </c>
    </row>
    <row r="31" spans="1:13" x14ac:dyDescent="0.3">
      <c r="A31" t="s">
        <v>98</v>
      </c>
      <c r="B31" s="5">
        <v>45078</v>
      </c>
      <c r="C31" s="6">
        <v>0.77152777777777781</v>
      </c>
      <c r="D31" t="s">
        <v>99</v>
      </c>
      <c r="E31" t="s">
        <v>23</v>
      </c>
      <c r="F31">
        <v>79</v>
      </c>
      <c r="G31" t="s">
        <v>24</v>
      </c>
      <c r="H31" t="s">
        <v>89</v>
      </c>
      <c r="I31" t="s">
        <v>32</v>
      </c>
      <c r="K31">
        <v>44</v>
      </c>
      <c r="L31" t="s">
        <v>69</v>
      </c>
      <c r="M31" t="s">
        <v>28</v>
      </c>
    </row>
    <row r="32" spans="1:13" x14ac:dyDescent="0.3">
      <c r="A32" t="s">
        <v>100</v>
      </c>
      <c r="B32" s="5">
        <v>45078</v>
      </c>
      <c r="C32" s="6">
        <v>0.82361111111111107</v>
      </c>
      <c r="D32" t="s">
        <v>101</v>
      </c>
      <c r="E32" t="s">
        <v>23</v>
      </c>
      <c r="F32">
        <v>60</v>
      </c>
      <c r="G32" t="s">
        <v>36</v>
      </c>
      <c r="H32" t="s">
        <v>102</v>
      </c>
      <c r="I32" t="s">
        <v>32</v>
      </c>
      <c r="K32">
        <v>58</v>
      </c>
      <c r="L32" t="s">
        <v>59</v>
      </c>
      <c r="M32" t="s">
        <v>28</v>
      </c>
    </row>
    <row r="33" spans="1:13" x14ac:dyDescent="0.3">
      <c r="A33" t="s">
        <v>103</v>
      </c>
      <c r="B33" s="5">
        <v>45444</v>
      </c>
      <c r="C33" s="6">
        <v>0.24861111111111112</v>
      </c>
      <c r="D33" t="s">
        <v>104</v>
      </c>
      <c r="E33" t="s">
        <v>23</v>
      </c>
      <c r="F33">
        <v>38</v>
      </c>
      <c r="G33" t="s">
        <v>42</v>
      </c>
      <c r="H33" t="s">
        <v>102</v>
      </c>
      <c r="I33" t="s">
        <v>32</v>
      </c>
      <c r="K33">
        <v>56</v>
      </c>
      <c r="L33" t="s">
        <v>33</v>
      </c>
      <c r="M33" t="s">
        <v>28</v>
      </c>
    </row>
    <row r="34" spans="1:13" x14ac:dyDescent="0.3">
      <c r="A34" t="s">
        <v>105</v>
      </c>
      <c r="B34" s="5">
        <v>45444</v>
      </c>
      <c r="C34" s="6">
        <v>0.76180555555555551</v>
      </c>
      <c r="D34" t="s">
        <v>106</v>
      </c>
      <c r="E34" t="s">
        <v>23</v>
      </c>
      <c r="F34">
        <v>24</v>
      </c>
      <c r="G34" t="s">
        <v>66</v>
      </c>
      <c r="H34" t="s">
        <v>102</v>
      </c>
      <c r="I34" t="s">
        <v>26</v>
      </c>
      <c r="K34">
        <v>48</v>
      </c>
      <c r="L34" t="s">
        <v>27</v>
      </c>
      <c r="M34" t="s">
        <v>28</v>
      </c>
    </row>
    <row r="35" spans="1:13" x14ac:dyDescent="0.3">
      <c r="A35" t="s">
        <v>107</v>
      </c>
      <c r="B35" s="5">
        <v>45444</v>
      </c>
      <c r="C35" s="6">
        <v>0.15763888888888888</v>
      </c>
      <c r="D35" t="s">
        <v>108</v>
      </c>
      <c r="E35" t="s">
        <v>31</v>
      </c>
      <c r="F35">
        <v>10</v>
      </c>
      <c r="G35" t="s">
        <v>53</v>
      </c>
      <c r="H35" t="s">
        <v>102</v>
      </c>
      <c r="I35" t="s">
        <v>26</v>
      </c>
      <c r="K35">
        <v>15</v>
      </c>
      <c r="L35" t="s">
        <v>46</v>
      </c>
      <c r="M35" t="s">
        <v>39</v>
      </c>
    </row>
    <row r="36" spans="1:13" x14ac:dyDescent="0.3">
      <c r="A36" t="s">
        <v>109</v>
      </c>
      <c r="B36" s="5">
        <v>45078</v>
      </c>
      <c r="C36" s="6">
        <v>0.88888888888888884</v>
      </c>
      <c r="D36" t="s">
        <v>110</v>
      </c>
      <c r="E36" t="s">
        <v>31</v>
      </c>
      <c r="F36">
        <v>4</v>
      </c>
      <c r="G36" t="s">
        <v>36</v>
      </c>
      <c r="H36" t="s">
        <v>111</v>
      </c>
      <c r="I36" t="s">
        <v>26</v>
      </c>
      <c r="K36">
        <v>32</v>
      </c>
      <c r="L36" t="s">
        <v>46</v>
      </c>
      <c r="M36" t="s">
        <v>28</v>
      </c>
    </row>
    <row r="37" spans="1:13" x14ac:dyDescent="0.3">
      <c r="A37" t="s">
        <v>112</v>
      </c>
      <c r="B37" s="5">
        <v>45078</v>
      </c>
      <c r="C37" s="6">
        <v>0.39166666666666666</v>
      </c>
      <c r="D37" t="s">
        <v>113</v>
      </c>
      <c r="E37" t="s">
        <v>23</v>
      </c>
      <c r="F37">
        <v>23</v>
      </c>
      <c r="G37" t="s">
        <v>42</v>
      </c>
      <c r="H37" t="s">
        <v>114</v>
      </c>
      <c r="I37" t="s">
        <v>26</v>
      </c>
      <c r="K37">
        <v>23</v>
      </c>
      <c r="L37" t="s">
        <v>27</v>
      </c>
      <c r="M37" t="s">
        <v>39</v>
      </c>
    </row>
    <row r="38" spans="1:13" x14ac:dyDescent="0.3">
      <c r="A38" t="s">
        <v>115</v>
      </c>
      <c r="B38" s="5">
        <v>45444</v>
      </c>
      <c r="C38" s="6">
        <v>0.26319444444444445</v>
      </c>
      <c r="D38" t="s">
        <v>116</v>
      </c>
      <c r="E38" t="s">
        <v>23</v>
      </c>
      <c r="F38">
        <v>36</v>
      </c>
      <c r="G38" t="s">
        <v>66</v>
      </c>
      <c r="H38" t="s">
        <v>114</v>
      </c>
      <c r="I38" t="s">
        <v>32</v>
      </c>
      <c r="J38">
        <v>5</v>
      </c>
      <c r="K38">
        <v>15</v>
      </c>
      <c r="L38" t="s">
        <v>33</v>
      </c>
      <c r="M38" t="s">
        <v>39</v>
      </c>
    </row>
    <row r="39" spans="1:13" x14ac:dyDescent="0.3">
      <c r="A39" t="s">
        <v>117</v>
      </c>
      <c r="B39" s="5">
        <v>45078</v>
      </c>
      <c r="C39" s="6">
        <v>0.47499999999999998</v>
      </c>
      <c r="D39" t="s">
        <v>118</v>
      </c>
      <c r="E39" t="s">
        <v>23</v>
      </c>
      <c r="F39">
        <v>65</v>
      </c>
      <c r="G39" t="s">
        <v>78</v>
      </c>
      <c r="H39" t="s">
        <v>119</v>
      </c>
      <c r="I39" t="s">
        <v>32</v>
      </c>
      <c r="J39">
        <v>10</v>
      </c>
      <c r="K39">
        <v>53</v>
      </c>
      <c r="L39" t="s">
        <v>79</v>
      </c>
      <c r="M39" t="s">
        <v>28</v>
      </c>
    </row>
    <row r="40" spans="1:13" x14ac:dyDescent="0.3">
      <c r="A40" t="s">
        <v>120</v>
      </c>
      <c r="B40" s="5">
        <v>45078</v>
      </c>
      <c r="C40" s="6">
        <v>0.97986111111111107</v>
      </c>
      <c r="D40" t="s">
        <v>121</v>
      </c>
      <c r="E40" t="s">
        <v>23</v>
      </c>
      <c r="F40">
        <v>23</v>
      </c>
      <c r="G40" t="s">
        <v>24</v>
      </c>
      <c r="H40" t="s">
        <v>122</v>
      </c>
      <c r="I40" t="s">
        <v>32</v>
      </c>
      <c r="J40">
        <v>2</v>
      </c>
      <c r="K40">
        <v>42</v>
      </c>
      <c r="L40" t="s">
        <v>27</v>
      </c>
      <c r="M40" t="s">
        <v>28</v>
      </c>
    </row>
    <row r="41" spans="1:13" x14ac:dyDescent="0.3">
      <c r="A41" t="s">
        <v>123</v>
      </c>
      <c r="B41" s="5">
        <v>45444</v>
      </c>
      <c r="C41" s="6">
        <v>0.82499999999999996</v>
      </c>
      <c r="D41" t="s">
        <v>124</v>
      </c>
      <c r="E41" t="s">
        <v>31</v>
      </c>
      <c r="F41">
        <v>2</v>
      </c>
      <c r="G41" t="s">
        <v>53</v>
      </c>
      <c r="H41" t="s">
        <v>102</v>
      </c>
      <c r="I41" t="s">
        <v>26</v>
      </c>
      <c r="J41">
        <v>4</v>
      </c>
      <c r="K41">
        <v>51</v>
      </c>
      <c r="L41" t="s">
        <v>46</v>
      </c>
      <c r="M41" t="s">
        <v>28</v>
      </c>
    </row>
    <row r="42" spans="1:13" x14ac:dyDescent="0.3">
      <c r="A42" t="s">
        <v>125</v>
      </c>
      <c r="B42" s="5">
        <v>45444</v>
      </c>
      <c r="C42" s="6">
        <v>2.7777777777777776E-2</v>
      </c>
      <c r="D42" t="s">
        <v>126</v>
      </c>
      <c r="E42" t="s">
        <v>31</v>
      </c>
      <c r="F42">
        <v>71</v>
      </c>
      <c r="G42" t="s">
        <v>24</v>
      </c>
      <c r="H42" t="s">
        <v>102</v>
      </c>
      <c r="I42" t="s">
        <v>32</v>
      </c>
      <c r="J42">
        <v>0</v>
      </c>
      <c r="K42">
        <v>53</v>
      </c>
      <c r="L42" t="s">
        <v>69</v>
      </c>
      <c r="M42" t="s">
        <v>28</v>
      </c>
    </row>
    <row r="43" spans="1:13" x14ac:dyDescent="0.3">
      <c r="A43" t="s">
        <v>127</v>
      </c>
      <c r="B43" s="5">
        <v>45078</v>
      </c>
      <c r="C43" s="6">
        <v>0.65486111111111112</v>
      </c>
      <c r="D43" t="s">
        <v>128</v>
      </c>
      <c r="E43" t="s">
        <v>31</v>
      </c>
      <c r="F43">
        <v>56</v>
      </c>
      <c r="G43" t="s">
        <v>53</v>
      </c>
      <c r="H43" t="s">
        <v>25</v>
      </c>
      <c r="I43" t="s">
        <v>32</v>
      </c>
      <c r="J43">
        <v>8</v>
      </c>
      <c r="K43">
        <v>17</v>
      </c>
      <c r="L43" t="s">
        <v>59</v>
      </c>
      <c r="M43" t="s">
        <v>39</v>
      </c>
    </row>
    <row r="44" spans="1:13" x14ac:dyDescent="0.3">
      <c r="A44" t="s">
        <v>129</v>
      </c>
      <c r="B44" s="5">
        <v>45078</v>
      </c>
      <c r="C44" s="6">
        <v>0.18888888888888888</v>
      </c>
      <c r="D44" t="s">
        <v>130</v>
      </c>
      <c r="E44" t="s">
        <v>23</v>
      </c>
      <c r="F44">
        <v>19</v>
      </c>
      <c r="G44" t="s">
        <v>53</v>
      </c>
      <c r="H44" t="s">
        <v>25</v>
      </c>
      <c r="I44" t="s">
        <v>26</v>
      </c>
      <c r="J44">
        <v>3</v>
      </c>
      <c r="K44">
        <v>10</v>
      </c>
      <c r="L44" t="s">
        <v>43</v>
      </c>
      <c r="M44" t="s">
        <v>39</v>
      </c>
    </row>
    <row r="45" spans="1:13" x14ac:dyDescent="0.3">
      <c r="A45" t="s">
        <v>131</v>
      </c>
      <c r="B45" s="5">
        <v>45078</v>
      </c>
      <c r="C45" s="6">
        <v>0.59513888888888888</v>
      </c>
      <c r="D45" t="s">
        <v>132</v>
      </c>
      <c r="E45" t="s">
        <v>23</v>
      </c>
      <c r="F45">
        <v>70</v>
      </c>
      <c r="G45" t="s">
        <v>36</v>
      </c>
      <c r="H45" t="s">
        <v>25</v>
      </c>
      <c r="I45" t="s">
        <v>32</v>
      </c>
      <c r="J45">
        <v>1</v>
      </c>
      <c r="K45">
        <v>37</v>
      </c>
      <c r="L45" t="s">
        <v>79</v>
      </c>
      <c r="M45" t="s">
        <v>28</v>
      </c>
    </row>
    <row r="46" spans="1:13" x14ac:dyDescent="0.3">
      <c r="A46" t="s">
        <v>133</v>
      </c>
      <c r="B46" s="5">
        <v>45444</v>
      </c>
      <c r="C46" s="6">
        <v>0.99652777777777779</v>
      </c>
      <c r="D46" t="s">
        <v>134</v>
      </c>
      <c r="E46" t="s">
        <v>31</v>
      </c>
      <c r="F46">
        <v>21</v>
      </c>
      <c r="G46" t="s">
        <v>36</v>
      </c>
      <c r="H46" t="s">
        <v>25</v>
      </c>
      <c r="I46" t="s">
        <v>32</v>
      </c>
      <c r="J46">
        <v>10</v>
      </c>
      <c r="K46">
        <v>22</v>
      </c>
      <c r="L46" t="s">
        <v>27</v>
      </c>
      <c r="M46"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98D9-0415-47A6-84CC-97706893D46E}">
  <dimension ref="A3:N115"/>
  <sheetViews>
    <sheetView workbookViewId="0">
      <selection activeCell="C67" sqref="C67"/>
    </sheetView>
  </sheetViews>
  <sheetFormatPr defaultRowHeight="14.4" x14ac:dyDescent="0.3"/>
  <cols>
    <col min="1" max="1" width="31.77734375" bestFit="1" customWidth="1"/>
    <col min="2" max="2" width="27.44140625" bestFit="1" customWidth="1"/>
    <col min="3" max="3" width="28.44140625" bestFit="1" customWidth="1"/>
    <col min="4" max="4" width="12.44140625" bestFit="1" customWidth="1"/>
    <col min="5" max="5" width="23.33203125" bestFit="1" customWidth="1"/>
    <col min="6" max="7" width="4.109375" bestFit="1" customWidth="1"/>
    <col min="8" max="8" width="4" bestFit="1" customWidth="1"/>
    <col min="9" max="9" width="4.33203125" bestFit="1" customWidth="1"/>
    <col min="10" max="10" width="12.44140625" bestFit="1" customWidth="1"/>
    <col min="11" max="11" width="24.21875" bestFit="1" customWidth="1"/>
    <col min="12" max="12" width="21.44140625" bestFit="1" customWidth="1"/>
    <col min="13" max="13" width="12.44140625" bestFit="1" customWidth="1"/>
    <col min="14" max="14" width="31.77734375" bestFit="1" customWidth="1"/>
    <col min="15" max="16" width="4.21875" bestFit="1" customWidth="1"/>
    <col min="17" max="17" width="10.5546875" bestFit="1" customWidth="1"/>
    <col min="18" max="35" width="9.33203125" bestFit="1" customWidth="1"/>
    <col min="36" max="44" width="8.33203125" bestFit="1" customWidth="1"/>
    <col min="45" max="64" width="9.33203125" bestFit="1" customWidth="1"/>
    <col min="65" max="73" width="8.33203125" bestFit="1" customWidth="1"/>
    <col min="74" max="95" width="9.33203125" bestFit="1" customWidth="1"/>
    <col min="96" max="104" width="8.33203125" bestFit="1" customWidth="1"/>
    <col min="105" max="125" width="9.33203125" bestFit="1" customWidth="1"/>
    <col min="126" max="134" width="8.33203125" bestFit="1" customWidth="1"/>
    <col min="135" max="155" width="9.33203125" bestFit="1" customWidth="1"/>
    <col min="156" max="164" width="8.33203125" bestFit="1" customWidth="1"/>
    <col min="165" max="186" width="9.33203125" bestFit="1" customWidth="1"/>
    <col min="187" max="195" width="8.33203125" bestFit="1" customWidth="1"/>
    <col min="196" max="217" width="9.33203125" bestFit="1" customWidth="1"/>
    <col min="218" max="226" width="8.33203125" bestFit="1" customWidth="1"/>
    <col min="227" max="247" width="9.33203125" bestFit="1" customWidth="1"/>
    <col min="248" max="256" width="8.33203125" bestFit="1" customWidth="1"/>
    <col min="257" max="277" width="9.33203125" bestFit="1" customWidth="1"/>
    <col min="278" max="286" width="8.33203125" bestFit="1" customWidth="1"/>
    <col min="287" max="308" width="9.33203125" bestFit="1" customWidth="1"/>
    <col min="309" max="317" width="8.33203125" bestFit="1" customWidth="1"/>
    <col min="318" max="339" width="9.33203125" bestFit="1" customWidth="1"/>
    <col min="340" max="348" width="8.33203125" bestFit="1" customWidth="1"/>
    <col min="349" max="370" width="9.33203125" bestFit="1" customWidth="1"/>
    <col min="371" max="379" width="8.33203125" bestFit="1" customWidth="1"/>
    <col min="380" max="401" width="9.33203125" bestFit="1" customWidth="1"/>
    <col min="402" max="410" width="8.33203125" bestFit="1" customWidth="1"/>
    <col min="411" max="431" width="9.33203125" bestFit="1" customWidth="1"/>
    <col min="432" max="440" width="8.33203125" bestFit="1" customWidth="1"/>
    <col min="441" max="470" width="9.33203125" bestFit="1" customWidth="1"/>
    <col min="471" max="492" width="10.33203125" bestFit="1" customWidth="1"/>
    <col min="493" max="501" width="9.33203125" bestFit="1" customWidth="1"/>
    <col min="502" max="522" width="10.33203125" bestFit="1" customWidth="1"/>
    <col min="523" max="531" width="9.33203125" bestFit="1" customWidth="1"/>
    <col min="532" max="552" width="10.33203125" bestFit="1" customWidth="1"/>
    <col min="553" max="561" width="9.33203125" bestFit="1" customWidth="1"/>
    <col min="562" max="583" width="10.33203125" bestFit="1" customWidth="1"/>
    <col min="584" max="584" width="10.5546875" bestFit="1" customWidth="1"/>
  </cols>
  <sheetData>
    <row r="3" spans="1:14" x14ac:dyDescent="0.3">
      <c r="A3" t="s">
        <v>1</v>
      </c>
      <c r="D3" t="s">
        <v>6</v>
      </c>
      <c r="J3" t="s">
        <v>7</v>
      </c>
      <c r="M3" t="s">
        <v>138</v>
      </c>
    </row>
    <row r="4" spans="1:14" x14ac:dyDescent="0.3">
      <c r="A4" t="s">
        <v>0</v>
      </c>
      <c r="D4" s="3" t="s">
        <v>5</v>
      </c>
      <c r="E4" t="s">
        <v>0</v>
      </c>
      <c r="J4" s="3" t="s">
        <v>5</v>
      </c>
      <c r="K4" t="s">
        <v>2</v>
      </c>
      <c r="M4" s="3" t="s">
        <v>5</v>
      </c>
      <c r="N4" t="s">
        <v>3</v>
      </c>
    </row>
    <row r="5" spans="1:14" x14ac:dyDescent="0.3">
      <c r="A5">
        <v>469</v>
      </c>
      <c r="D5" s="4" t="s">
        <v>150</v>
      </c>
      <c r="E5">
        <v>12</v>
      </c>
      <c r="J5" s="4" t="s">
        <v>150</v>
      </c>
      <c r="K5" s="1">
        <v>29.833333333333332</v>
      </c>
      <c r="M5" s="4" t="s">
        <v>150</v>
      </c>
      <c r="N5" s="1">
        <v>3.5</v>
      </c>
    </row>
    <row r="6" spans="1:14" x14ac:dyDescent="0.3">
      <c r="D6" s="4" t="s">
        <v>151</v>
      </c>
      <c r="E6">
        <v>18</v>
      </c>
      <c r="J6" s="4" t="s">
        <v>151</v>
      </c>
      <c r="K6" s="1">
        <v>34.777777777777779</v>
      </c>
      <c r="M6" s="4" t="s">
        <v>151</v>
      </c>
      <c r="N6" s="1">
        <v>5.8</v>
      </c>
    </row>
    <row r="7" spans="1:14" x14ac:dyDescent="0.3">
      <c r="D7" s="4" t="s">
        <v>152</v>
      </c>
      <c r="E7">
        <v>17</v>
      </c>
      <c r="J7" s="4" t="s">
        <v>152</v>
      </c>
      <c r="K7" s="1">
        <v>35</v>
      </c>
      <c r="M7" s="4" t="s">
        <v>152</v>
      </c>
      <c r="N7" s="1">
        <v>3.6</v>
      </c>
    </row>
    <row r="8" spans="1:14" x14ac:dyDescent="0.3">
      <c r="A8" t="s">
        <v>2</v>
      </c>
      <c r="D8" s="4" t="s">
        <v>153</v>
      </c>
      <c r="E8">
        <v>15</v>
      </c>
      <c r="J8" s="4" t="s">
        <v>153</v>
      </c>
      <c r="K8" s="1">
        <v>34.06666666666667</v>
      </c>
      <c r="M8" s="4" t="s">
        <v>153</v>
      </c>
      <c r="N8" s="1">
        <v>7.25</v>
      </c>
    </row>
    <row r="9" spans="1:14" x14ac:dyDescent="0.3">
      <c r="A9" s="1">
        <v>34.268656716417908</v>
      </c>
      <c r="D9" s="4" t="s">
        <v>154</v>
      </c>
      <c r="E9">
        <v>13</v>
      </c>
      <c r="J9" s="4" t="s">
        <v>154</v>
      </c>
      <c r="K9" s="1">
        <v>34.846153846153847</v>
      </c>
      <c r="M9" s="4" t="s">
        <v>154</v>
      </c>
      <c r="N9" s="1">
        <v>4</v>
      </c>
    </row>
    <row r="10" spans="1:14" x14ac:dyDescent="0.3">
      <c r="D10" s="4" t="s">
        <v>155</v>
      </c>
      <c r="E10">
        <v>11</v>
      </c>
      <c r="J10" s="4" t="s">
        <v>155</v>
      </c>
      <c r="K10" s="1">
        <v>36.81818181818182</v>
      </c>
      <c r="M10" s="4" t="s">
        <v>155</v>
      </c>
      <c r="N10" s="1">
        <v>6.2</v>
      </c>
    </row>
    <row r="11" spans="1:14" x14ac:dyDescent="0.3">
      <c r="D11" s="4" t="s">
        <v>156</v>
      </c>
      <c r="E11">
        <v>14</v>
      </c>
      <c r="J11" s="4" t="s">
        <v>156</v>
      </c>
      <c r="K11" s="1">
        <v>34.5</v>
      </c>
      <c r="M11" s="4" t="s">
        <v>156</v>
      </c>
      <c r="N11" s="1">
        <v>6.5</v>
      </c>
    </row>
    <row r="12" spans="1:14" x14ac:dyDescent="0.3">
      <c r="A12" t="s">
        <v>3</v>
      </c>
      <c r="D12" s="4" t="s">
        <v>157</v>
      </c>
      <c r="E12">
        <v>17</v>
      </c>
      <c r="J12" s="4" t="s">
        <v>157</v>
      </c>
      <c r="K12" s="1">
        <v>32.882352941176471</v>
      </c>
      <c r="M12" s="4" t="s">
        <v>157</v>
      </c>
      <c r="N12" s="1">
        <v>6</v>
      </c>
    </row>
    <row r="13" spans="1:14" x14ac:dyDescent="0.3">
      <c r="A13" s="1">
        <v>4.9837398373983737</v>
      </c>
      <c r="D13" s="4" t="s">
        <v>158</v>
      </c>
      <c r="E13">
        <v>15</v>
      </c>
      <c r="J13" s="4" t="s">
        <v>158</v>
      </c>
      <c r="K13" s="1">
        <v>43.466666666666669</v>
      </c>
      <c r="M13" s="4" t="s">
        <v>158</v>
      </c>
      <c r="N13" s="1">
        <v>1.5</v>
      </c>
    </row>
    <row r="14" spans="1:14" x14ac:dyDescent="0.3">
      <c r="D14" s="4" t="s">
        <v>159</v>
      </c>
      <c r="E14">
        <v>16</v>
      </c>
      <c r="J14" s="4" t="s">
        <v>159</v>
      </c>
      <c r="K14" s="1">
        <v>28.375</v>
      </c>
      <c r="M14" s="4" t="s">
        <v>159</v>
      </c>
      <c r="N14" s="1">
        <v>2.5</v>
      </c>
    </row>
    <row r="15" spans="1:14" x14ac:dyDescent="0.3">
      <c r="D15" s="4" t="s">
        <v>160</v>
      </c>
      <c r="E15">
        <v>9</v>
      </c>
      <c r="J15" s="4" t="s">
        <v>160</v>
      </c>
      <c r="K15" s="1">
        <v>34.777777777777779</v>
      </c>
      <c r="M15" s="4" t="s">
        <v>160</v>
      </c>
      <c r="N15" s="1">
        <v>7.25</v>
      </c>
    </row>
    <row r="16" spans="1:14" x14ac:dyDescent="0.3">
      <c r="D16" s="4" t="s">
        <v>161</v>
      </c>
      <c r="E16">
        <v>10</v>
      </c>
      <c r="J16" s="4" t="s">
        <v>161</v>
      </c>
      <c r="K16" s="1">
        <v>35.200000000000003</v>
      </c>
      <c r="M16" s="4" t="s">
        <v>161</v>
      </c>
      <c r="N16" s="1">
        <v>1.5</v>
      </c>
    </row>
    <row r="17" spans="4:14" x14ac:dyDescent="0.3">
      <c r="D17" s="4" t="s">
        <v>162</v>
      </c>
      <c r="E17">
        <v>12</v>
      </c>
      <c r="J17" s="4" t="s">
        <v>162</v>
      </c>
      <c r="K17" s="1">
        <v>32</v>
      </c>
      <c r="M17" s="4" t="s">
        <v>162</v>
      </c>
      <c r="N17" s="1">
        <v>5</v>
      </c>
    </row>
    <row r="18" spans="4:14" x14ac:dyDescent="0.3">
      <c r="D18" s="4" t="s">
        <v>163</v>
      </c>
      <c r="E18">
        <v>13</v>
      </c>
      <c r="J18" s="4" t="s">
        <v>163</v>
      </c>
      <c r="K18" s="1">
        <v>37.615384615384613</v>
      </c>
      <c r="M18" s="4" t="s">
        <v>163</v>
      </c>
      <c r="N18" s="1">
        <v>6.5</v>
      </c>
    </row>
    <row r="19" spans="4:14" x14ac:dyDescent="0.3">
      <c r="D19" s="4" t="s">
        <v>164</v>
      </c>
      <c r="E19">
        <v>26</v>
      </c>
      <c r="J19" s="4" t="s">
        <v>164</v>
      </c>
      <c r="K19" s="1">
        <v>37.384615384615387</v>
      </c>
      <c r="M19" s="4" t="s">
        <v>164</v>
      </c>
      <c r="N19" s="1">
        <v>4.1111111111111107</v>
      </c>
    </row>
    <row r="20" spans="4:14" x14ac:dyDescent="0.3">
      <c r="D20" s="4" t="s">
        <v>165</v>
      </c>
      <c r="E20">
        <v>22</v>
      </c>
      <c r="J20" s="4" t="s">
        <v>165</v>
      </c>
      <c r="K20" s="1">
        <v>33.954545454545453</v>
      </c>
      <c r="M20" s="4" t="s">
        <v>165</v>
      </c>
      <c r="N20" s="1">
        <v>6.6</v>
      </c>
    </row>
    <row r="21" spans="4:14" x14ac:dyDescent="0.3">
      <c r="D21" s="4" t="s">
        <v>166</v>
      </c>
      <c r="E21">
        <v>16</v>
      </c>
      <c r="J21" s="4" t="s">
        <v>166</v>
      </c>
      <c r="K21" s="1">
        <v>32.5</v>
      </c>
      <c r="M21" s="4" t="s">
        <v>166</v>
      </c>
      <c r="N21" s="1">
        <v>5.2</v>
      </c>
    </row>
    <row r="22" spans="4:14" x14ac:dyDescent="0.3">
      <c r="D22" s="4" t="s">
        <v>167</v>
      </c>
      <c r="E22">
        <v>12</v>
      </c>
      <c r="J22" s="4" t="s">
        <v>167</v>
      </c>
      <c r="K22" s="1">
        <v>37.25</v>
      </c>
      <c r="M22" s="4" t="s">
        <v>167</v>
      </c>
      <c r="N22" s="1">
        <v>5.5</v>
      </c>
    </row>
    <row r="23" spans="4:14" x14ac:dyDescent="0.3">
      <c r="D23" s="4" t="s">
        <v>168</v>
      </c>
      <c r="E23">
        <v>21</v>
      </c>
      <c r="J23" s="4" t="s">
        <v>168</v>
      </c>
      <c r="K23" s="1">
        <v>34.047619047619051</v>
      </c>
      <c r="M23" s="4" t="s">
        <v>168</v>
      </c>
      <c r="N23" s="1">
        <v>3.3333333333333335</v>
      </c>
    </row>
    <row r="24" spans="4:14" x14ac:dyDescent="0.3">
      <c r="D24" s="4" t="s">
        <v>169</v>
      </c>
      <c r="E24">
        <v>12</v>
      </c>
      <c r="J24" s="4" t="s">
        <v>169</v>
      </c>
      <c r="K24" s="1">
        <v>34.583333333333336</v>
      </c>
      <c r="M24" s="4" t="s">
        <v>169</v>
      </c>
      <c r="N24" s="1">
        <v>5</v>
      </c>
    </row>
    <row r="25" spans="4:14" x14ac:dyDescent="0.3">
      <c r="D25" s="4" t="s">
        <v>170</v>
      </c>
      <c r="E25">
        <v>15</v>
      </c>
      <c r="J25" s="4" t="s">
        <v>170</v>
      </c>
      <c r="K25" s="1">
        <v>31</v>
      </c>
      <c r="M25" s="4" t="s">
        <v>170</v>
      </c>
      <c r="N25" s="1">
        <v>6.5</v>
      </c>
    </row>
    <row r="26" spans="4:14" x14ac:dyDescent="0.3">
      <c r="D26" s="4" t="s">
        <v>171</v>
      </c>
      <c r="E26">
        <v>23</v>
      </c>
      <c r="J26" s="4" t="s">
        <v>171</v>
      </c>
      <c r="K26" s="1">
        <v>33.347826086956523</v>
      </c>
      <c r="M26" s="4" t="s">
        <v>171</v>
      </c>
      <c r="N26" s="1">
        <v>3</v>
      </c>
    </row>
    <row r="27" spans="4:14" x14ac:dyDescent="0.3">
      <c r="D27" s="4" t="s">
        <v>172</v>
      </c>
      <c r="E27">
        <v>15</v>
      </c>
      <c r="J27" s="4" t="s">
        <v>172</v>
      </c>
      <c r="K27" s="1">
        <v>33.799999999999997</v>
      </c>
      <c r="M27" s="4" t="s">
        <v>172</v>
      </c>
      <c r="N27" s="1">
        <v>5.333333333333333</v>
      </c>
    </row>
    <row r="28" spans="4:14" x14ac:dyDescent="0.3">
      <c r="D28" s="4" t="s">
        <v>173</v>
      </c>
      <c r="E28">
        <v>15</v>
      </c>
      <c r="J28" s="4" t="s">
        <v>173</v>
      </c>
      <c r="K28" s="1">
        <v>32.466666666666669</v>
      </c>
      <c r="M28" s="4" t="s">
        <v>173</v>
      </c>
      <c r="N28" s="1">
        <v>7.333333333333333</v>
      </c>
    </row>
    <row r="29" spans="4:14" x14ac:dyDescent="0.3">
      <c r="D29" s="4" t="s">
        <v>174</v>
      </c>
      <c r="E29">
        <v>14</v>
      </c>
      <c r="J29" s="4" t="s">
        <v>174</v>
      </c>
      <c r="K29" s="1">
        <v>36.642857142857146</v>
      </c>
      <c r="M29" s="4" t="s">
        <v>174</v>
      </c>
      <c r="N29" s="1">
        <v>5.6</v>
      </c>
    </row>
    <row r="30" spans="4:14" x14ac:dyDescent="0.3">
      <c r="D30" s="4" t="s">
        <v>175</v>
      </c>
      <c r="E30">
        <v>19</v>
      </c>
      <c r="J30" s="4" t="s">
        <v>175</v>
      </c>
      <c r="K30" s="1">
        <v>32.631578947368418</v>
      </c>
      <c r="M30" s="4" t="s">
        <v>175</v>
      </c>
      <c r="N30" s="1">
        <v>4.4000000000000004</v>
      </c>
    </row>
    <row r="31" spans="4:14" x14ac:dyDescent="0.3">
      <c r="D31" s="4" t="s">
        <v>176</v>
      </c>
      <c r="E31">
        <v>17</v>
      </c>
      <c r="J31" s="4" t="s">
        <v>176</v>
      </c>
      <c r="K31" s="1">
        <v>32.176470588235297</v>
      </c>
      <c r="M31" s="4" t="s">
        <v>176</v>
      </c>
      <c r="N31" s="1">
        <v>4</v>
      </c>
    </row>
    <row r="32" spans="4:14" x14ac:dyDescent="0.3">
      <c r="D32" s="4" t="s">
        <v>177</v>
      </c>
      <c r="E32">
        <v>16</v>
      </c>
      <c r="J32" s="4" t="s">
        <v>177</v>
      </c>
      <c r="K32" s="1">
        <v>33.5</v>
      </c>
      <c r="M32" s="4" t="s">
        <v>177</v>
      </c>
      <c r="N32" s="1">
        <v>3</v>
      </c>
    </row>
    <row r="33" spans="1:14" x14ac:dyDescent="0.3">
      <c r="D33" s="4" t="s">
        <v>178</v>
      </c>
      <c r="E33">
        <v>15</v>
      </c>
      <c r="J33" s="4" t="s">
        <v>178</v>
      </c>
      <c r="K33" s="1">
        <v>33.200000000000003</v>
      </c>
      <c r="M33" s="4" t="s">
        <v>178</v>
      </c>
      <c r="N33" s="1">
        <v>5.666666666666667</v>
      </c>
    </row>
    <row r="34" spans="1:14" x14ac:dyDescent="0.3">
      <c r="D34" s="4" t="s">
        <v>179</v>
      </c>
      <c r="E34">
        <v>19</v>
      </c>
      <c r="J34" s="4" t="s">
        <v>179</v>
      </c>
      <c r="K34" s="1">
        <v>35.89473684210526</v>
      </c>
      <c r="M34" s="4" t="s">
        <v>179</v>
      </c>
      <c r="N34" s="1">
        <v>5.8571428571428568</v>
      </c>
    </row>
    <row r="35" spans="1:14" x14ac:dyDescent="0.3">
      <c r="D35" s="4" t="s">
        <v>4</v>
      </c>
      <c r="E35">
        <v>469</v>
      </c>
      <c r="J35" s="4" t="s">
        <v>4</v>
      </c>
      <c r="K35">
        <v>34.268656716417908</v>
      </c>
      <c r="M35" s="4" t="s">
        <v>4</v>
      </c>
      <c r="N35">
        <v>4.9837398373983737</v>
      </c>
    </row>
    <row r="44" spans="1:14" x14ac:dyDescent="0.3">
      <c r="A44" s="3" t="s">
        <v>5</v>
      </c>
      <c r="B44" t="s">
        <v>139</v>
      </c>
      <c r="C44" t="s">
        <v>140</v>
      </c>
    </row>
    <row r="45" spans="1:14" x14ac:dyDescent="0.3">
      <c r="A45" s="4" t="s">
        <v>26</v>
      </c>
      <c r="B45" s="10">
        <v>249</v>
      </c>
      <c r="C45" s="11">
        <v>0.53091684434968012</v>
      </c>
    </row>
    <row r="46" spans="1:14" x14ac:dyDescent="0.3">
      <c r="A46" s="4" t="s">
        <v>32</v>
      </c>
      <c r="B46" s="10">
        <v>220</v>
      </c>
      <c r="C46" s="11">
        <v>0.46908315565031983</v>
      </c>
    </row>
    <row r="47" spans="1:14" x14ac:dyDescent="0.3">
      <c r="A47" s="4" t="s">
        <v>4</v>
      </c>
      <c r="B47" s="10">
        <v>469</v>
      </c>
      <c r="C47" s="11">
        <v>1</v>
      </c>
    </row>
    <row r="52" spans="1:5" x14ac:dyDescent="0.3">
      <c r="A52" s="13" t="s">
        <v>141</v>
      </c>
      <c r="B52" s="13" t="s">
        <v>142</v>
      </c>
      <c r="C52" s="13" t="s">
        <v>143</v>
      </c>
      <c r="D52" s="12"/>
      <c r="E52" s="14"/>
    </row>
    <row r="53" spans="1:5" x14ac:dyDescent="0.3">
      <c r="A53" s="15" t="str">
        <f>A46</f>
        <v>Not admitted</v>
      </c>
      <c r="B53" s="15">
        <f>B46</f>
        <v>220</v>
      </c>
      <c r="C53" s="16">
        <f>C46</f>
        <v>0.46908315565031983</v>
      </c>
      <c r="D53" s="17"/>
    </row>
    <row r="54" spans="1:5" x14ac:dyDescent="0.3">
      <c r="A54" s="15" t="str">
        <f>A45</f>
        <v>Admitted</v>
      </c>
      <c r="B54" s="15">
        <f>B45</f>
        <v>249</v>
      </c>
      <c r="C54" s="16">
        <f>C45</f>
        <v>0.53091684434968012</v>
      </c>
      <c r="D54" s="17"/>
    </row>
    <row r="59" spans="1:5" x14ac:dyDescent="0.3">
      <c r="A59" s="3" t="s">
        <v>5</v>
      </c>
      <c r="B59" t="s">
        <v>144</v>
      </c>
    </row>
    <row r="60" spans="1:5" x14ac:dyDescent="0.3">
      <c r="A60" s="4" t="s">
        <v>46</v>
      </c>
      <c r="B60" s="10">
        <v>61</v>
      </c>
    </row>
    <row r="61" spans="1:5" x14ac:dyDescent="0.3">
      <c r="A61" s="4" t="s">
        <v>43</v>
      </c>
      <c r="B61" s="10">
        <v>56</v>
      </c>
    </row>
    <row r="62" spans="1:5" x14ac:dyDescent="0.3">
      <c r="A62" s="4" t="s">
        <v>27</v>
      </c>
      <c r="B62" s="10">
        <v>58</v>
      </c>
    </row>
    <row r="63" spans="1:5" x14ac:dyDescent="0.3">
      <c r="A63" s="4" t="s">
        <v>33</v>
      </c>
      <c r="B63" s="10">
        <v>56</v>
      </c>
    </row>
    <row r="64" spans="1:5" x14ac:dyDescent="0.3">
      <c r="A64" s="4" t="s">
        <v>56</v>
      </c>
      <c r="B64" s="10">
        <v>66</v>
      </c>
    </row>
    <row r="65" spans="1:2" x14ac:dyDescent="0.3">
      <c r="A65" s="4" t="s">
        <v>59</v>
      </c>
      <c r="B65" s="10">
        <v>62</v>
      </c>
    </row>
    <row r="66" spans="1:2" x14ac:dyDescent="0.3">
      <c r="A66" s="4" t="s">
        <v>79</v>
      </c>
      <c r="B66" s="10">
        <v>58</v>
      </c>
    </row>
    <row r="67" spans="1:2" x14ac:dyDescent="0.3">
      <c r="A67" s="4" t="s">
        <v>69</v>
      </c>
      <c r="B67" s="10">
        <v>52</v>
      </c>
    </row>
    <row r="68" spans="1:2" x14ac:dyDescent="0.3">
      <c r="A68" s="4" t="s">
        <v>4</v>
      </c>
      <c r="B68" s="10">
        <v>469</v>
      </c>
    </row>
    <row r="77" spans="1:2" x14ac:dyDescent="0.3">
      <c r="A77" s="3" t="s">
        <v>5</v>
      </c>
      <c r="B77" t="s">
        <v>145</v>
      </c>
    </row>
    <row r="78" spans="1:2" x14ac:dyDescent="0.3">
      <c r="A78" s="4" t="s">
        <v>28</v>
      </c>
      <c r="B78" s="10">
        <v>257</v>
      </c>
    </row>
    <row r="79" spans="1:2" x14ac:dyDescent="0.3">
      <c r="A79" s="4" t="s">
        <v>39</v>
      </c>
      <c r="B79" s="10">
        <v>212</v>
      </c>
    </row>
    <row r="80" spans="1:2" x14ac:dyDescent="0.3">
      <c r="A80" s="4" t="s">
        <v>4</v>
      </c>
      <c r="B80" s="10">
        <v>469</v>
      </c>
    </row>
    <row r="84" spans="1:2" x14ac:dyDescent="0.3">
      <c r="A84" s="3" t="s">
        <v>5</v>
      </c>
      <c r="B84" t="s">
        <v>146</v>
      </c>
    </row>
    <row r="85" spans="1:2" x14ac:dyDescent="0.3">
      <c r="A85" s="4" t="s">
        <v>23</v>
      </c>
      <c r="B85" s="1">
        <v>219</v>
      </c>
    </row>
    <row r="86" spans="1:2" x14ac:dyDescent="0.3">
      <c r="A86" s="4" t="s">
        <v>31</v>
      </c>
      <c r="B86" s="1">
        <v>250</v>
      </c>
    </row>
    <row r="87" spans="1:2" x14ac:dyDescent="0.3">
      <c r="A87" s="4" t="s">
        <v>4</v>
      </c>
      <c r="B87" s="10">
        <v>469</v>
      </c>
    </row>
    <row r="93" spans="1:2" x14ac:dyDescent="0.3">
      <c r="A93" s="3" t="s">
        <v>5</v>
      </c>
      <c r="B93" t="s">
        <v>148</v>
      </c>
    </row>
    <row r="94" spans="1:2" x14ac:dyDescent="0.3">
      <c r="A94" s="4" t="s">
        <v>147</v>
      </c>
      <c r="B94" s="10">
        <v>6</v>
      </c>
    </row>
    <row r="95" spans="1:2" x14ac:dyDescent="0.3">
      <c r="A95" s="4" t="s">
        <v>122</v>
      </c>
      <c r="B95" s="10">
        <v>7</v>
      </c>
    </row>
    <row r="96" spans="1:2" x14ac:dyDescent="0.3">
      <c r="A96" s="4" t="s">
        <v>119</v>
      </c>
      <c r="B96" s="10">
        <v>11</v>
      </c>
    </row>
    <row r="97" spans="1:2" x14ac:dyDescent="0.3">
      <c r="A97" s="4" t="s">
        <v>114</v>
      </c>
      <c r="B97" s="10">
        <v>13</v>
      </c>
    </row>
    <row r="98" spans="1:2" x14ac:dyDescent="0.3">
      <c r="A98" s="4" t="s">
        <v>111</v>
      </c>
      <c r="B98" s="10">
        <v>17</v>
      </c>
    </row>
    <row r="99" spans="1:2" x14ac:dyDescent="0.3">
      <c r="A99" s="4" t="s">
        <v>102</v>
      </c>
      <c r="B99" s="10">
        <v>48</v>
      </c>
    </row>
    <row r="100" spans="1:2" x14ac:dyDescent="0.3">
      <c r="A100" s="4" t="s">
        <v>89</v>
      </c>
      <c r="B100" s="10">
        <v>107</v>
      </c>
    </row>
    <row r="101" spans="1:2" x14ac:dyDescent="0.3">
      <c r="A101" s="4" t="s">
        <v>25</v>
      </c>
      <c r="B101" s="10">
        <v>260</v>
      </c>
    </row>
    <row r="102" spans="1:2" x14ac:dyDescent="0.3">
      <c r="A102" s="4" t="s">
        <v>4</v>
      </c>
      <c r="B102" s="10">
        <v>469</v>
      </c>
    </row>
    <row r="113" spans="1:1" x14ac:dyDescent="0.3">
      <c r="A113" s="3" t="s">
        <v>5</v>
      </c>
    </row>
    <row r="114" spans="1:1" x14ac:dyDescent="0.3">
      <c r="A114" s="4" t="s">
        <v>149</v>
      </c>
    </row>
    <row r="115" spans="1:1" x14ac:dyDescent="0.3">
      <c r="A115" s="4" t="s">
        <v>4</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B067-066A-4CCB-8DE1-3FE048FC10D3}">
  <dimension ref="A1:AH25"/>
  <sheetViews>
    <sheetView tabSelected="1" zoomScale="102" zoomScaleNormal="102" workbookViewId="0">
      <selection activeCell="G27" sqref="G27"/>
    </sheetView>
  </sheetViews>
  <sheetFormatPr defaultRowHeight="14.4" x14ac:dyDescent="0.3"/>
  <sheetData>
    <row r="1" spans="1:34"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spans="1:34"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4"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spans="1:34"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row>
    <row r="7" spans="1:34"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row>
    <row r="8" spans="1:34"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spans="1:34"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spans="1:34"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spans="1:34"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spans="1:34"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row>
    <row r="14" spans="1:34"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row>
    <row r="15" spans="1:34"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row>
    <row r="16" spans="1:34"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row>
    <row r="17" spans="1:34"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1:34"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row>
    <row r="19" spans="1:34"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row>
    <row r="20" spans="1:34"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4"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4"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4"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4"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0E0F-B84A-4F5B-9826-405E9CEC44FD}">
  <dimension ref="A1:U38"/>
  <sheetViews>
    <sheetView workbookViewId="0"/>
  </sheetViews>
  <sheetFormatPr defaultRowHeight="14.4" x14ac:dyDescent="0.3"/>
  <cols>
    <col min="16" max="16" width="28.21875" customWidth="1"/>
  </cols>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t="s">
        <v>137</v>
      </c>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Q29" s="9"/>
      <c r="R29" s="9"/>
      <c r="S29" s="9"/>
      <c r="T29" s="9"/>
      <c r="U29" s="9"/>
    </row>
    <row r="30" spans="1:21" x14ac:dyDescent="0.3">
      <c r="Q30" s="9"/>
      <c r="R30" s="9"/>
      <c r="S30" s="9"/>
      <c r="T30" s="9"/>
      <c r="U30" s="9"/>
    </row>
    <row r="31" spans="1:21" x14ac:dyDescent="0.3">
      <c r="Q31" s="9"/>
      <c r="R31" s="9"/>
      <c r="S31" s="9"/>
      <c r="T31" s="9"/>
      <c r="U31" s="9"/>
    </row>
    <row r="32" spans="1:21" x14ac:dyDescent="0.3">
      <c r="Q32" s="9"/>
      <c r="R32" s="9"/>
      <c r="S32" s="9"/>
      <c r="T32" s="9"/>
      <c r="U32" s="9"/>
    </row>
    <row r="33" spans="17:21" x14ac:dyDescent="0.3">
      <c r="Q33" s="9"/>
      <c r="R33" s="9"/>
      <c r="S33" s="9"/>
      <c r="T33" s="9"/>
      <c r="U33" s="9"/>
    </row>
    <row r="34" spans="17:21" x14ac:dyDescent="0.3">
      <c r="Q34" s="9"/>
      <c r="R34" s="9"/>
      <c r="S34" s="9"/>
      <c r="T34" s="9"/>
      <c r="U34" s="9"/>
    </row>
    <row r="35" spans="17:21" x14ac:dyDescent="0.3">
      <c r="Q35" s="9"/>
      <c r="R35" s="9"/>
      <c r="S35" s="9"/>
      <c r="T35" s="9"/>
      <c r="U35" s="9"/>
    </row>
    <row r="36" spans="17:21" x14ac:dyDescent="0.3">
      <c r="Q36" s="9"/>
      <c r="R36" s="9"/>
      <c r="S36" s="9"/>
      <c r="T36" s="9"/>
      <c r="U36" s="9"/>
    </row>
    <row r="37" spans="17:21" x14ac:dyDescent="0.3">
      <c r="Q37" s="9"/>
      <c r="R37" s="9"/>
      <c r="S37" s="9"/>
      <c r="T37" s="9"/>
      <c r="U37" s="9"/>
    </row>
    <row r="38" spans="17:21" x14ac:dyDescent="0.3">
      <c r="Q38" s="9"/>
      <c r="R38" s="9"/>
      <c r="S38" s="9"/>
      <c r="T38" s="9"/>
      <c r="U38"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0E4F0-AD44-410E-912C-EF18BEC27FF9}">
  <dimension ref="A1:Z34"/>
  <sheetViews>
    <sheetView workbookViewId="0"/>
  </sheetViews>
  <sheetFormatPr defaultRowHeight="14.4" x14ac:dyDescent="0.3"/>
  <sheetData>
    <row r="1" spans="1:26" x14ac:dyDescent="0.3">
      <c r="A1" s="8"/>
      <c r="B1" s="8"/>
      <c r="C1" s="8"/>
      <c r="D1" s="8"/>
      <c r="E1" s="8"/>
      <c r="F1" s="8"/>
      <c r="G1" s="8"/>
      <c r="H1" s="8"/>
      <c r="I1" s="8"/>
      <c r="J1" s="8"/>
      <c r="K1" s="8"/>
      <c r="L1" s="8"/>
      <c r="M1" s="8"/>
      <c r="N1" s="8"/>
      <c r="O1" s="8"/>
      <c r="P1" s="8"/>
      <c r="Q1" s="8"/>
      <c r="R1" s="8"/>
      <c r="S1" s="8"/>
      <c r="T1" s="8"/>
      <c r="U1" s="8"/>
      <c r="V1" s="8"/>
      <c r="W1" s="8"/>
      <c r="X1" s="8"/>
      <c r="Y1" s="8"/>
      <c r="Z1" s="8"/>
    </row>
    <row r="2" spans="1:26" x14ac:dyDescent="0.3">
      <c r="A2" s="8"/>
      <c r="B2" s="8"/>
      <c r="C2" s="8"/>
      <c r="D2" s="8"/>
      <c r="E2" s="8"/>
      <c r="F2" s="8"/>
      <c r="G2" s="8"/>
      <c r="H2" s="8"/>
      <c r="I2" s="8"/>
      <c r="J2" s="8"/>
      <c r="K2" s="8"/>
      <c r="L2" s="8"/>
      <c r="M2" s="8"/>
      <c r="N2" s="8"/>
      <c r="O2" s="8"/>
      <c r="P2" s="8"/>
      <c r="Q2" s="8"/>
      <c r="R2" s="8"/>
      <c r="S2" s="8"/>
      <c r="T2" s="8"/>
      <c r="U2" s="8"/>
      <c r="V2" s="8"/>
      <c r="W2" s="8"/>
      <c r="X2" s="8"/>
      <c r="Y2" s="8"/>
      <c r="Z2" s="8"/>
    </row>
    <row r="3" spans="1:26" x14ac:dyDescent="0.3">
      <c r="A3" s="8"/>
      <c r="B3" s="8"/>
      <c r="C3" s="8"/>
      <c r="D3" s="8"/>
      <c r="E3" s="8"/>
      <c r="F3" s="8"/>
      <c r="G3" s="8"/>
      <c r="H3" s="8"/>
      <c r="I3" s="8"/>
      <c r="J3" s="8"/>
      <c r="K3" s="8"/>
      <c r="L3" s="8"/>
      <c r="M3" s="8"/>
      <c r="N3" s="8"/>
      <c r="O3" s="8"/>
      <c r="P3" s="8"/>
      <c r="Q3" s="8"/>
      <c r="R3" s="8"/>
      <c r="S3" s="8"/>
      <c r="T3" s="8"/>
      <c r="U3" s="8"/>
      <c r="V3" s="8"/>
      <c r="W3" s="8"/>
      <c r="X3" s="8"/>
      <c r="Y3" s="8"/>
      <c r="Z3" s="8"/>
    </row>
    <row r="4" spans="1:26" x14ac:dyDescent="0.3">
      <c r="A4" s="8"/>
      <c r="B4" s="8"/>
      <c r="C4" s="8"/>
      <c r="D4" s="8"/>
      <c r="E4" s="8"/>
      <c r="F4" s="8"/>
      <c r="G4" s="8"/>
      <c r="H4" s="8"/>
      <c r="I4" s="8"/>
      <c r="J4" s="8"/>
      <c r="K4" s="8"/>
      <c r="L4" s="8"/>
      <c r="M4" s="8"/>
      <c r="N4" s="8"/>
      <c r="O4" s="8"/>
      <c r="P4" s="8"/>
      <c r="Q4" s="8"/>
      <c r="R4" s="8"/>
      <c r="S4" s="8"/>
      <c r="T4" s="8"/>
      <c r="U4" s="8"/>
      <c r="V4" s="8"/>
      <c r="W4" s="8"/>
      <c r="X4" s="8"/>
      <c r="Y4" s="8"/>
      <c r="Z4" s="8"/>
    </row>
    <row r="5" spans="1:26" x14ac:dyDescent="0.3">
      <c r="A5" s="8"/>
      <c r="B5" s="8"/>
      <c r="C5" s="8"/>
      <c r="D5" s="8"/>
      <c r="E5" s="8"/>
      <c r="F5" s="8"/>
      <c r="G5" s="8"/>
      <c r="H5" s="8"/>
      <c r="I5" s="8"/>
      <c r="J5" s="8"/>
      <c r="K5" s="8"/>
      <c r="L5" s="8"/>
      <c r="M5" s="8"/>
      <c r="N5" s="8"/>
      <c r="O5" s="8"/>
      <c r="P5" s="8"/>
      <c r="Q5" s="8"/>
      <c r="R5" s="8"/>
      <c r="S5" s="8"/>
      <c r="T5" s="8"/>
      <c r="U5" s="8"/>
      <c r="V5" s="8"/>
      <c r="W5" s="8"/>
      <c r="X5" s="8"/>
      <c r="Y5" s="8"/>
      <c r="Z5" s="8"/>
    </row>
    <row r="6" spans="1:26" x14ac:dyDescent="0.3">
      <c r="A6" s="8"/>
      <c r="B6" s="8"/>
      <c r="C6" s="8"/>
      <c r="D6" s="8"/>
      <c r="E6" s="8"/>
      <c r="F6" s="8"/>
      <c r="G6" s="8"/>
      <c r="H6" s="8"/>
      <c r="I6" s="8"/>
      <c r="J6" s="8"/>
      <c r="K6" s="8"/>
      <c r="L6" s="8"/>
      <c r="M6" s="8"/>
      <c r="N6" s="8"/>
      <c r="O6" s="8"/>
      <c r="P6" s="8"/>
      <c r="Q6" s="8"/>
      <c r="R6" s="8"/>
      <c r="S6" s="8"/>
      <c r="T6" s="8"/>
      <c r="U6" s="8"/>
      <c r="V6" s="8"/>
      <c r="W6" s="8"/>
      <c r="X6" s="8"/>
      <c r="Y6" s="8"/>
      <c r="Z6" s="8"/>
    </row>
    <row r="7" spans="1:26" x14ac:dyDescent="0.3">
      <c r="A7" s="8"/>
      <c r="B7" s="8"/>
      <c r="C7" s="8"/>
      <c r="D7" s="8"/>
      <c r="E7" s="8"/>
      <c r="F7" s="8"/>
      <c r="G7" s="8"/>
      <c r="H7" s="8"/>
      <c r="I7" s="8"/>
      <c r="J7" s="8"/>
      <c r="K7" s="8"/>
      <c r="L7" s="8"/>
      <c r="M7" s="8"/>
      <c r="N7" s="8"/>
      <c r="O7" s="8"/>
      <c r="P7" s="8"/>
      <c r="Q7" s="8"/>
      <c r="R7" s="8"/>
      <c r="S7" s="8"/>
      <c r="T7" s="8"/>
      <c r="U7" s="8"/>
      <c r="V7" s="8"/>
      <c r="W7" s="8"/>
      <c r="X7" s="8"/>
      <c r="Y7" s="8"/>
      <c r="Z7" s="8"/>
    </row>
    <row r="8" spans="1:26" x14ac:dyDescent="0.3">
      <c r="A8" s="8"/>
      <c r="B8" s="8"/>
      <c r="C8" s="8"/>
      <c r="D8" s="8"/>
      <c r="E8" s="8"/>
      <c r="F8" s="8"/>
      <c r="G8" s="8"/>
      <c r="H8" s="8"/>
      <c r="I8" s="8"/>
      <c r="J8" s="8"/>
      <c r="K8" s="8"/>
      <c r="L8" s="8"/>
      <c r="M8" s="8"/>
      <c r="N8" s="8"/>
      <c r="O8" s="8"/>
      <c r="P8" s="8"/>
      <c r="Q8" s="8"/>
      <c r="R8" s="8"/>
      <c r="S8" s="8"/>
      <c r="T8" s="8"/>
      <c r="U8" s="8"/>
      <c r="V8" s="8"/>
      <c r="W8" s="8"/>
      <c r="X8" s="8"/>
      <c r="Y8" s="8"/>
      <c r="Z8" s="8"/>
    </row>
    <row r="9" spans="1:26" x14ac:dyDescent="0.3">
      <c r="A9" s="8"/>
      <c r="B9" s="8"/>
      <c r="C9" s="8"/>
      <c r="D9" s="8"/>
      <c r="E9" s="8"/>
      <c r="F9" s="8"/>
      <c r="G9" s="8"/>
      <c r="H9" s="8"/>
      <c r="I9" s="8"/>
      <c r="J9" s="8"/>
      <c r="K9" s="8"/>
      <c r="L9" s="8"/>
      <c r="M9" s="8"/>
      <c r="N9" s="8"/>
      <c r="O9" s="8"/>
      <c r="P9" s="8"/>
      <c r="Q9" s="8"/>
      <c r="R9" s="8"/>
      <c r="S9" s="8"/>
      <c r="T9" s="8"/>
      <c r="U9" s="8"/>
      <c r="V9" s="8"/>
      <c r="W9" s="8"/>
      <c r="X9" s="8"/>
      <c r="Y9" s="8"/>
      <c r="Z9" s="8"/>
    </row>
    <row r="10" spans="1:26" x14ac:dyDescent="0.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A27" s="8"/>
      <c r="B27" s="8"/>
      <c r="C27" s="8"/>
      <c r="D27" s="8"/>
      <c r="E27" s="8" t="s">
        <v>136</v>
      </c>
      <c r="F27" s="8"/>
      <c r="G27" s="8"/>
      <c r="H27" s="8"/>
      <c r="I27" s="8"/>
      <c r="J27" s="8"/>
      <c r="K27" s="8"/>
      <c r="L27" s="8"/>
      <c r="M27" s="8"/>
      <c r="N27" s="8"/>
      <c r="O27" s="8"/>
      <c r="P27" s="8"/>
      <c r="Q27" s="8"/>
      <c r="R27" s="8"/>
      <c r="S27" s="8"/>
      <c r="T27" s="8"/>
      <c r="U27" s="8"/>
      <c r="V27" s="8"/>
      <c r="W27" s="8"/>
      <c r="X27" s="8"/>
      <c r="Y27" s="8"/>
      <c r="Z27" s="8"/>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6DB21-4511-4812-BCBA-7EC43A8F92C1}">
  <dimension ref="A1:U38"/>
  <sheetViews>
    <sheetView workbookViewId="0"/>
  </sheetViews>
  <sheetFormatPr defaultRowHeight="14.4" x14ac:dyDescent="0.3"/>
  <cols>
    <col min="16" max="16" width="28.21875" customWidth="1"/>
  </cols>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t="s">
        <v>137</v>
      </c>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Q29" s="9"/>
      <c r="R29" s="9"/>
      <c r="S29" s="9"/>
      <c r="T29" s="9"/>
      <c r="U29" s="9"/>
    </row>
    <row r="30" spans="1:21" x14ac:dyDescent="0.3">
      <c r="Q30" s="9"/>
      <c r="R30" s="9"/>
      <c r="S30" s="9"/>
      <c r="T30" s="9"/>
      <c r="U30" s="9"/>
    </row>
    <row r="31" spans="1:21" x14ac:dyDescent="0.3">
      <c r="Q31" s="9"/>
      <c r="R31" s="9"/>
      <c r="S31" s="9"/>
      <c r="T31" s="9"/>
      <c r="U31" s="9"/>
    </row>
    <row r="32" spans="1:21" x14ac:dyDescent="0.3">
      <c r="Q32" s="9"/>
      <c r="R32" s="9"/>
      <c r="S32" s="9"/>
      <c r="T32" s="9"/>
      <c r="U32" s="9"/>
    </row>
    <row r="33" spans="17:21" x14ac:dyDescent="0.3">
      <c r="Q33" s="9"/>
      <c r="R33" s="9"/>
      <c r="S33" s="9"/>
      <c r="T33" s="9"/>
      <c r="U33" s="9"/>
    </row>
    <row r="34" spans="17:21" x14ac:dyDescent="0.3">
      <c r="Q34" s="9"/>
      <c r="R34" s="9"/>
      <c r="S34" s="9"/>
      <c r="T34" s="9"/>
      <c r="U34" s="9"/>
    </row>
    <row r="35" spans="17:21" x14ac:dyDescent="0.3">
      <c r="Q35" s="9"/>
      <c r="R35" s="9"/>
      <c r="S35" s="9"/>
      <c r="T35" s="9"/>
      <c r="U35" s="9"/>
    </row>
    <row r="36" spans="17:21" x14ac:dyDescent="0.3">
      <c r="Q36" s="9"/>
      <c r="R36" s="9"/>
      <c r="S36" s="9"/>
      <c r="T36" s="9"/>
      <c r="U36" s="9"/>
    </row>
    <row r="37" spans="17:21" x14ac:dyDescent="0.3">
      <c r="Q37" s="9"/>
      <c r="R37" s="9"/>
      <c r="S37" s="9"/>
      <c r="T37" s="9"/>
      <c r="U37" s="9"/>
    </row>
    <row r="38" spans="17:21" x14ac:dyDescent="0.3">
      <c r="Q38" s="9"/>
      <c r="R38" s="9"/>
      <c r="S38" s="9"/>
      <c r="T38" s="9"/>
      <c r="U38"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DC3E0E7-14E0-4563-B91B-8FAD9AD8F6A9}">
  <ds:schemaRefs/>
</ds:datastoreItem>
</file>

<file path=customXml/itemProps2.xml><?xml version="1.0" encoding="utf-8"?>
<ds:datastoreItem xmlns:ds="http://schemas.openxmlformats.org/officeDocument/2006/customXml" ds:itemID="{4326B948-0698-47AE-A753-A8D38ED90468}">
  <ds:schemaRefs/>
</ds:datastoreItem>
</file>

<file path=customXml/itemProps3.xml><?xml version="1.0" encoding="utf-8"?>
<ds:datastoreItem xmlns:ds="http://schemas.openxmlformats.org/officeDocument/2006/customXml" ds:itemID="{6F073F32-3437-4A1F-971E-766615111C31}">
  <ds:schemaRefs/>
</ds:datastoreItem>
</file>

<file path=customXml/itemProps4.xml><?xml version="1.0" encoding="utf-8"?>
<ds:datastoreItem xmlns:ds="http://schemas.openxmlformats.org/officeDocument/2006/customXml" ds:itemID="{833E361E-054C-4AED-A69D-6D531B382A05}">
  <ds:schemaRefs/>
</ds:datastoreItem>
</file>

<file path=customXml/itemProps5.xml><?xml version="1.0" encoding="utf-8"?>
<ds:datastoreItem xmlns:ds="http://schemas.openxmlformats.org/officeDocument/2006/customXml" ds:itemID="{F089C1BD-79BF-45B2-91D9-8521790F210F}">
  <ds:schemaRefs/>
</ds:datastoreItem>
</file>

<file path=customXml/itemProps6.xml><?xml version="1.0" encoding="utf-8"?>
<ds:datastoreItem xmlns:ds="http://schemas.openxmlformats.org/officeDocument/2006/customXml" ds:itemID="{EAEB3E07-D686-4BA0-9576-47E1A31F3950}">
  <ds:schemaRefs/>
</ds:datastoreItem>
</file>

<file path=customXml/itemProps7.xml><?xml version="1.0" encoding="utf-8"?>
<ds:datastoreItem xmlns:ds="http://schemas.openxmlformats.org/officeDocument/2006/customXml" ds:itemID="{6050031F-0564-4C2D-9C5F-CCF7C68703CB}">
  <ds:schemaRefs/>
</ds:datastoreItem>
</file>

<file path=customXml/itemProps8.xml><?xml version="1.0" encoding="utf-8"?>
<ds:datastoreItem xmlns:ds="http://schemas.openxmlformats.org/officeDocument/2006/customXml" ds:itemID="{C80AB7C1-C674-4E83-96B1-051FFA7A3BE3}">
  <ds:schemaRefs/>
</ds:datastoreItem>
</file>

<file path=customXml/itemProps9.xml><?xml version="1.0" encoding="utf-8"?>
<ds:datastoreItem xmlns:ds="http://schemas.openxmlformats.org/officeDocument/2006/customXml" ds:itemID="{94D11988-036B-450A-96D7-ED833CFFB84C}">
  <ds:schemaRefs/>
</ds:datastoreItem>
</file>

<file path=customXml/itemProps10.xml><?xml version="1.0" encoding="utf-8"?>
<ds:datastoreItem xmlns:ds="http://schemas.openxmlformats.org/officeDocument/2006/customXml" ds:itemID="{A1AEE522-3499-4FF1-84E2-467D2152C104}">
  <ds:schemaRefs/>
</ds:datastoreItem>
</file>

<file path=customXml/itemProps11.xml><?xml version="1.0" encoding="utf-8"?>
<ds:datastoreItem xmlns:ds="http://schemas.openxmlformats.org/officeDocument/2006/customXml" ds:itemID="{9FA29FFF-89F8-48FF-850D-D0A518B2D1DF}">
  <ds:schemaRefs/>
</ds:datastoreItem>
</file>

<file path=customXml/itemProps12.xml><?xml version="1.0" encoding="utf-8"?>
<ds:datastoreItem xmlns:ds="http://schemas.openxmlformats.org/officeDocument/2006/customXml" ds:itemID="{2284B3AE-F858-49A5-80EC-5392F28BF10D}">
  <ds:schemaRefs/>
</ds:datastoreItem>
</file>

<file path=customXml/itemProps13.xml><?xml version="1.0" encoding="utf-8"?>
<ds:datastoreItem xmlns:ds="http://schemas.openxmlformats.org/officeDocument/2006/customXml" ds:itemID="{29165FA0-CAA3-409A-8B8D-30BA308E5E72}">
  <ds:schemaRefs/>
</ds:datastoreItem>
</file>

<file path=customXml/itemProps14.xml><?xml version="1.0" encoding="utf-8"?>
<ds:datastoreItem xmlns:ds="http://schemas.openxmlformats.org/officeDocument/2006/customXml" ds:itemID="{8658487B-8A79-4273-A53C-AFC5FF8F0986}">
  <ds:schemaRefs/>
</ds:datastoreItem>
</file>

<file path=customXml/itemProps15.xml><?xml version="1.0" encoding="utf-8"?>
<ds:datastoreItem xmlns:ds="http://schemas.openxmlformats.org/officeDocument/2006/customXml" ds:itemID="{2ED45F80-6647-4063-9FF9-ADE8EEC1D249}">
  <ds:schemaRefs/>
</ds:datastoreItem>
</file>

<file path=customXml/itemProps16.xml><?xml version="1.0" encoding="utf-8"?>
<ds:datastoreItem xmlns:ds="http://schemas.openxmlformats.org/officeDocument/2006/customXml" ds:itemID="{64F87C9C-D224-4149-9E60-48DDE0AD5252}">
  <ds:schemaRefs/>
</ds:datastoreItem>
</file>

<file path=customXml/itemProps17.xml><?xml version="1.0" encoding="utf-8"?>
<ds:datastoreItem xmlns:ds="http://schemas.openxmlformats.org/officeDocument/2006/customXml" ds:itemID="{B563F984-303C-4EC8-9C5B-B3B6F001ADD5}">
  <ds:schemaRefs>
    <ds:schemaRef ds:uri="http://schemas.microsoft.com/DataMashup"/>
  </ds:schemaRefs>
</ds:datastoreItem>
</file>

<file path=customXml/itemProps18.xml><?xml version="1.0" encoding="utf-8"?>
<ds:datastoreItem xmlns:ds="http://schemas.openxmlformats.org/officeDocument/2006/customXml" ds:itemID="{B9AE6D4B-CDEB-464C-A202-3548F55238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Pivot Table</vt:lpstr>
      <vt:lpstr>Dashboard</vt:lpstr>
      <vt:lpstr>Average wait time daily trend</vt:lpstr>
      <vt:lpstr>Daily ER No. of patients</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Kumkum Sharma</dc:creator>
  <cp:lastModifiedBy>Kumkum Sharma</cp:lastModifiedBy>
  <dcterms:created xsi:type="dcterms:W3CDTF">2026-09-20T09:04:31Z</dcterms:created>
  <dcterms:modified xsi:type="dcterms:W3CDTF">2026-10-19T10:29:04Z</dcterms:modified>
</cp:coreProperties>
</file>